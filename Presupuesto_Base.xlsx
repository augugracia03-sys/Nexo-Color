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upuesto" sheetId="1" state="visible" r:id="rId1"/>
    <sheet xmlns:r="http://schemas.openxmlformats.org/officeDocument/2006/relationships" name="Produc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7" customWidth="1" min="5" max="5"/>
    <col width="43" customWidth="1" min="6" max="6"/>
  </cols>
  <sheetData>
    <row r="1">
      <c r="A1" t="inlineStr">
        <is>
          <t>Fecha</t>
        </is>
      </c>
      <c r="B1" t="inlineStr">
        <is>
          <t>Cliente</t>
        </is>
      </c>
      <c r="C1" t="inlineStr">
        <is>
          <t>Observaciones</t>
        </is>
      </c>
    </row>
    <row r="2">
      <c r="A2" t="inlineStr">
        <is>
          <t>2025-08-14</t>
        </is>
      </c>
      <c r="B2" t="inlineStr"/>
      <c r="C2" t="inlineStr"/>
    </row>
    <row r="3"/>
    <row r="4">
      <c r="A4" t="inlineStr">
        <is>
          <t>Ítem</t>
        </is>
      </c>
      <c r="B4" t="inlineStr">
        <is>
          <t>Código</t>
        </is>
      </c>
      <c r="C4" t="inlineStr">
        <is>
          <t>Descripción</t>
        </is>
      </c>
      <c r="D4" t="inlineStr">
        <is>
          <t>Cantidad</t>
        </is>
      </c>
      <c r="E4" t="inlineStr">
        <is>
          <t>Precio Unitario</t>
        </is>
      </c>
      <c r="F4" t="inlineStr">
        <is>
          <t>Subtotal</t>
        </is>
      </c>
    </row>
    <row r="5">
      <c r="A5" t="n">
        <v>1</v>
      </c>
      <c r="B5" t="inlineStr"/>
      <c r="C5" t="inlineStr"/>
      <c r="D5" t="n">
        <v>1</v>
      </c>
      <c r="E5" t="inlineStr"/>
      <c r="F5">
        <f>IF(AND(D5&gt;0,E5&gt;0),ROUND(D5*E5,2),"")</f>
        <v/>
      </c>
    </row>
    <row r="6">
      <c r="A6" t="n">
        <v>2</v>
      </c>
      <c r="B6" t="inlineStr"/>
      <c r="C6" t="inlineStr"/>
      <c r="D6" t="n">
        <v>1</v>
      </c>
      <c r="E6" t="inlineStr"/>
      <c r="F6">
        <f>IF(AND(D6&gt;0,E6&gt;0),ROUND(D6*E6,2),"")</f>
        <v/>
      </c>
    </row>
    <row r="7">
      <c r="A7" t="n">
        <v>3</v>
      </c>
      <c r="B7" t="inlineStr"/>
      <c r="C7" t="inlineStr"/>
      <c r="D7" t="n">
        <v>1</v>
      </c>
      <c r="E7" t="inlineStr"/>
      <c r="F7">
        <f>IF(AND(D7&gt;0,E7&gt;0),ROUND(D7*E7,2),"")</f>
        <v/>
      </c>
    </row>
    <row r="8">
      <c r="A8" t="n">
        <v>4</v>
      </c>
      <c r="B8" t="inlineStr"/>
      <c r="C8" t="inlineStr"/>
      <c r="D8" t="n">
        <v>1</v>
      </c>
      <c r="E8" t="inlineStr"/>
      <c r="F8">
        <f>IF(AND(D8&gt;0,E8&gt;0),ROUND(D8*E8,2),"")</f>
        <v/>
      </c>
    </row>
    <row r="9">
      <c r="A9" t="n">
        <v>5</v>
      </c>
      <c r="B9" t="inlineStr"/>
      <c r="C9" t="inlineStr"/>
      <c r="D9" t="n">
        <v>1</v>
      </c>
      <c r="E9" t="inlineStr"/>
      <c r="F9">
        <f>IF(AND(D9&gt;0,E9&gt;0),ROUND(D9*E9,2),"")</f>
        <v/>
      </c>
    </row>
    <row r="10">
      <c r="A10" t="n">
        <v>6</v>
      </c>
      <c r="B10" t="inlineStr"/>
      <c r="C10" t="inlineStr"/>
      <c r="D10" t="n">
        <v>1</v>
      </c>
      <c r="E10" t="inlineStr"/>
      <c r="F10">
        <f>IF(AND(D10&gt;0,E10&gt;0),ROUND(D10*E10,2),"")</f>
        <v/>
      </c>
    </row>
    <row r="11">
      <c r="A11" t="n">
        <v>7</v>
      </c>
      <c r="B11" t="inlineStr"/>
      <c r="C11" t="inlineStr"/>
      <c r="D11" t="n">
        <v>1</v>
      </c>
      <c r="E11" t="inlineStr"/>
      <c r="F11">
        <f>IF(AND(D11&gt;0,E11&gt;0),ROUND(D11*E11,2),"")</f>
        <v/>
      </c>
    </row>
    <row r="12">
      <c r="A12" t="n">
        <v>8</v>
      </c>
      <c r="B12" t="inlineStr"/>
      <c r="C12" t="inlineStr"/>
      <c r="D12" t="n">
        <v>1</v>
      </c>
      <c r="E12" t="inlineStr"/>
      <c r="F12">
        <f>IF(AND(D12&gt;0,E12&gt;0),ROUND(D12*E12,2),"")</f>
        <v/>
      </c>
    </row>
    <row r="13">
      <c r="A13" t="n">
        <v>9</v>
      </c>
      <c r="B13" t="inlineStr"/>
      <c r="C13" t="inlineStr"/>
      <c r="D13" t="n">
        <v>1</v>
      </c>
      <c r="E13" t="inlineStr"/>
      <c r="F13">
        <f>IF(AND(D13&gt;0,E13&gt;0),ROUND(D13*E13,2),"")</f>
        <v/>
      </c>
    </row>
    <row r="14">
      <c r="A14" t="n">
        <v>10</v>
      </c>
      <c r="B14" t="inlineStr"/>
      <c r="C14" t="inlineStr"/>
      <c r="D14" t="n">
        <v>1</v>
      </c>
      <c r="E14" t="inlineStr"/>
      <c r="F14">
        <f>IF(AND(D14&gt;0,E14&gt;0),ROUND(D14*E14,2),"")</f>
        <v/>
      </c>
    </row>
    <row r="15">
      <c r="A15" t="n">
        <v>11</v>
      </c>
      <c r="B15" t="inlineStr"/>
      <c r="C15" t="inlineStr"/>
      <c r="D15" t="n">
        <v>1</v>
      </c>
      <c r="E15" t="inlineStr"/>
      <c r="F15">
        <f>IF(AND(D15&gt;0,E15&gt;0),ROUND(D15*E15,2),"")</f>
        <v/>
      </c>
    </row>
    <row r="16">
      <c r="A16" t="n">
        <v>12</v>
      </c>
      <c r="B16" t="inlineStr"/>
      <c r="C16" t="inlineStr"/>
      <c r="D16" t="n">
        <v>1</v>
      </c>
      <c r="E16" t="inlineStr"/>
      <c r="F16">
        <f>IF(AND(D16&gt;0,E16&gt;0),ROUND(D16*E16,2),"")</f>
        <v/>
      </c>
    </row>
    <row r="17">
      <c r="A17" t="n">
        <v>13</v>
      </c>
      <c r="B17" t="inlineStr"/>
      <c r="C17" t="inlineStr"/>
      <c r="D17" t="n">
        <v>1</v>
      </c>
      <c r="E17" t="inlineStr"/>
      <c r="F17">
        <f>IF(AND(D17&gt;0,E17&gt;0),ROUND(D17*E17,2),"")</f>
        <v/>
      </c>
    </row>
    <row r="18">
      <c r="A18" t="n">
        <v>14</v>
      </c>
      <c r="B18" t="inlineStr"/>
      <c r="C18" t="inlineStr"/>
      <c r="D18" t="n">
        <v>1</v>
      </c>
      <c r="E18" t="inlineStr"/>
      <c r="F18">
        <f>IF(AND(D18&gt;0,E18&gt;0),ROUND(D18*E18,2),"")</f>
        <v/>
      </c>
    </row>
    <row r="19">
      <c r="A19" t="n">
        <v>15</v>
      </c>
      <c r="B19" t="inlineStr"/>
      <c r="C19" t="inlineStr"/>
      <c r="D19" t="n">
        <v>1</v>
      </c>
      <c r="E19" t="inlineStr"/>
      <c r="F19">
        <f>IF(AND(D19&gt;0,E19&gt;0),ROUND(D19*E19,2),"")</f>
        <v/>
      </c>
    </row>
    <row r="20">
      <c r="A20" t="n">
        <v>16</v>
      </c>
      <c r="B20" t="inlineStr"/>
      <c r="C20" t="inlineStr"/>
      <c r="D20" t="n">
        <v>1</v>
      </c>
      <c r="E20" t="inlineStr"/>
      <c r="F20">
        <f>IF(AND(D20&gt;0,E20&gt;0),ROUND(D20*E20,2),"")</f>
        <v/>
      </c>
    </row>
    <row r="21">
      <c r="A21" t="n">
        <v>17</v>
      </c>
      <c r="B21" t="inlineStr"/>
      <c r="C21" t="inlineStr"/>
      <c r="D21" t="n">
        <v>1</v>
      </c>
      <c r="E21" t="inlineStr"/>
      <c r="F21">
        <f>IF(AND(D21&gt;0,E21&gt;0),ROUND(D21*E21,2),"")</f>
        <v/>
      </c>
    </row>
    <row r="22">
      <c r="A22" t="n">
        <v>18</v>
      </c>
      <c r="B22" t="inlineStr"/>
      <c r="C22" t="inlineStr"/>
      <c r="D22" t="n">
        <v>1</v>
      </c>
      <c r="E22" t="inlineStr"/>
      <c r="F22">
        <f>IF(AND(D22&gt;0,E22&gt;0),ROUND(D22*E22,2),"")</f>
        <v/>
      </c>
    </row>
    <row r="23">
      <c r="A23" t="n">
        <v>19</v>
      </c>
      <c r="B23" t="inlineStr"/>
      <c r="C23" t="inlineStr"/>
      <c r="D23" t="n">
        <v>1</v>
      </c>
      <c r="E23" t="inlineStr"/>
      <c r="F23">
        <f>IF(AND(D23&gt;0,E23&gt;0),ROUND(D23*E23,2),"")</f>
        <v/>
      </c>
    </row>
    <row r="24">
      <c r="A24" t="n">
        <v>20</v>
      </c>
      <c r="B24" t="inlineStr"/>
      <c r="C24" t="inlineStr"/>
      <c r="D24" t="n">
        <v>1</v>
      </c>
      <c r="E24" t="inlineStr"/>
      <c r="F24">
        <f>IF(AND(D24&gt;0,E24&gt;0),ROUND(D24*E24,2),"")</f>
        <v/>
      </c>
    </row>
    <row r="25">
      <c r="A25" t="n">
        <v>21</v>
      </c>
      <c r="B25" t="inlineStr"/>
      <c r="C25" t="inlineStr"/>
      <c r="D25" t="n">
        <v>1</v>
      </c>
      <c r="E25" t="inlineStr"/>
      <c r="F25">
        <f>IF(AND(D25&gt;0,E25&gt;0),ROUND(D25*E25,2),"")</f>
        <v/>
      </c>
    </row>
    <row r="26">
      <c r="A26" t="n">
        <v>22</v>
      </c>
      <c r="B26" t="inlineStr"/>
      <c r="C26" t="inlineStr"/>
      <c r="D26" t="n">
        <v>1</v>
      </c>
      <c r="E26" t="inlineStr"/>
      <c r="F26">
        <f>IF(AND(D26&gt;0,E26&gt;0),ROUND(D26*E26,2),"")</f>
        <v/>
      </c>
    </row>
    <row r="27">
      <c r="A27" t="n">
        <v>23</v>
      </c>
      <c r="B27" t="inlineStr"/>
      <c r="C27" t="inlineStr"/>
      <c r="D27" t="n">
        <v>1</v>
      </c>
      <c r="E27" t="inlineStr"/>
      <c r="F27">
        <f>IF(AND(D27&gt;0,E27&gt;0),ROUND(D27*E27,2),"")</f>
        <v/>
      </c>
    </row>
    <row r="28">
      <c r="A28" t="n">
        <v>24</v>
      </c>
      <c r="B28" t="inlineStr"/>
      <c r="C28" t="inlineStr"/>
      <c r="D28" t="n">
        <v>1</v>
      </c>
      <c r="E28" t="inlineStr"/>
      <c r="F28">
        <f>IF(AND(D28&gt;0,E28&gt;0),ROUND(D28*E28,2),"")</f>
        <v/>
      </c>
    </row>
    <row r="29">
      <c r="A29" t="n">
        <v>25</v>
      </c>
      <c r="B29" t="inlineStr"/>
      <c r="C29" t="inlineStr"/>
      <c r="D29" t="n">
        <v>1</v>
      </c>
      <c r="E29" t="inlineStr"/>
      <c r="F29">
        <f>IF(AND(D29&gt;0,E29&gt;0),ROUND(D29*E29,2),"")</f>
        <v/>
      </c>
    </row>
    <row r="30">
      <c r="A30" t="n">
        <v>26</v>
      </c>
      <c r="B30" t="inlineStr"/>
      <c r="C30" t="inlineStr"/>
      <c r="D30" t="n">
        <v>1</v>
      </c>
      <c r="E30" t="inlineStr"/>
      <c r="F30">
        <f>IF(AND(D30&gt;0,E30&gt;0),ROUND(D30*E30,2),"")</f>
        <v/>
      </c>
    </row>
    <row r="31">
      <c r="A31" t="n">
        <v>27</v>
      </c>
      <c r="B31" t="inlineStr"/>
      <c r="C31" t="inlineStr"/>
      <c r="D31" t="n">
        <v>1</v>
      </c>
      <c r="E31" t="inlineStr"/>
      <c r="F31">
        <f>IF(AND(D31&gt;0,E31&gt;0),ROUND(D31*E31,2),"")</f>
        <v/>
      </c>
    </row>
    <row r="32">
      <c r="A32" t="n">
        <v>28</v>
      </c>
      <c r="B32" t="inlineStr"/>
      <c r="C32" t="inlineStr"/>
      <c r="D32" t="n">
        <v>1</v>
      </c>
      <c r="E32" t="inlineStr"/>
      <c r="F32">
        <f>IF(AND(D32&gt;0,E32&gt;0),ROUND(D32*E32,2),"")</f>
        <v/>
      </c>
    </row>
    <row r="33">
      <c r="A33" t="n">
        <v>29</v>
      </c>
      <c r="B33" t="inlineStr"/>
      <c r="C33" t="inlineStr"/>
      <c r="D33" t="n">
        <v>1</v>
      </c>
      <c r="E33" t="inlineStr"/>
      <c r="F33">
        <f>IF(AND(D33&gt;0,E33&gt;0),ROUND(D33*E33,2),"")</f>
        <v/>
      </c>
    </row>
    <row r="34">
      <c r="A34" t="n">
        <v>30</v>
      </c>
      <c r="B34" t="inlineStr"/>
      <c r="C34" t="inlineStr"/>
      <c r="D34" t="n">
        <v>1</v>
      </c>
      <c r="E34" t="inlineStr"/>
      <c r="F34">
        <f>IF(AND(D34&gt;0,E34&gt;0),ROUND(D34*E34,2),"")</f>
        <v/>
      </c>
    </row>
    <row r="35">
      <c r="A35" t="n">
        <v>31</v>
      </c>
      <c r="B35" t="inlineStr"/>
      <c r="C35" t="inlineStr"/>
      <c r="D35" t="n">
        <v>1</v>
      </c>
      <c r="E35" t="inlineStr"/>
      <c r="F35">
        <f>IF(AND(D35&gt;0,E35&gt;0),ROUND(D35*E35,2),"")</f>
        <v/>
      </c>
    </row>
    <row r="36">
      <c r="A36" t="n">
        <v>32</v>
      </c>
      <c r="B36" t="inlineStr"/>
      <c r="C36" t="inlineStr"/>
      <c r="D36" t="n">
        <v>1</v>
      </c>
      <c r="E36" t="inlineStr"/>
      <c r="F36">
        <f>IF(AND(D36&gt;0,E36&gt;0),ROUND(D36*E36,2),"")</f>
        <v/>
      </c>
    </row>
    <row r="37">
      <c r="A37" t="n">
        <v>33</v>
      </c>
      <c r="B37" t="inlineStr"/>
      <c r="C37" t="inlineStr"/>
      <c r="D37" t="n">
        <v>1</v>
      </c>
      <c r="E37" t="inlineStr"/>
      <c r="F37">
        <f>IF(AND(D37&gt;0,E37&gt;0),ROUND(D37*E37,2),"")</f>
        <v/>
      </c>
    </row>
    <row r="38">
      <c r="A38" t="n">
        <v>34</v>
      </c>
      <c r="B38" t="inlineStr"/>
      <c r="C38" t="inlineStr"/>
      <c r="D38" t="n">
        <v>1</v>
      </c>
      <c r="E38" t="inlineStr"/>
      <c r="F38">
        <f>IF(AND(D38&gt;0,E38&gt;0),ROUND(D38*E38,2),"")</f>
        <v/>
      </c>
    </row>
    <row r="39">
      <c r="A39" t="n">
        <v>35</v>
      </c>
      <c r="B39" t="inlineStr"/>
      <c r="C39" t="inlineStr"/>
      <c r="D39" t="n">
        <v>1</v>
      </c>
      <c r="E39" t="inlineStr"/>
      <c r="F39">
        <f>IF(AND(D39&gt;0,E39&gt;0),ROUND(D39*E39,2),"")</f>
        <v/>
      </c>
    </row>
    <row r="40">
      <c r="A40" t="n">
        <v>36</v>
      </c>
      <c r="B40" t="inlineStr"/>
      <c r="C40" t="inlineStr"/>
      <c r="D40" t="n">
        <v>1</v>
      </c>
      <c r="E40" t="inlineStr"/>
      <c r="F40">
        <f>IF(AND(D40&gt;0,E40&gt;0),ROUND(D40*E40,2),"")</f>
        <v/>
      </c>
    </row>
    <row r="41">
      <c r="A41" t="n">
        <v>37</v>
      </c>
      <c r="B41" t="inlineStr"/>
      <c r="C41" t="inlineStr"/>
      <c r="D41" t="n">
        <v>1</v>
      </c>
      <c r="E41" t="inlineStr"/>
      <c r="F41">
        <f>IF(AND(D41&gt;0,E41&gt;0),ROUND(D41*E41,2),"")</f>
        <v/>
      </c>
    </row>
    <row r="42">
      <c r="A42" t="n">
        <v>38</v>
      </c>
      <c r="B42" t="inlineStr"/>
      <c r="C42" t="inlineStr"/>
      <c r="D42" t="n">
        <v>1</v>
      </c>
      <c r="E42" t="inlineStr"/>
      <c r="F42">
        <f>IF(AND(D42&gt;0,E42&gt;0),ROUND(D42*E42,2),"")</f>
        <v/>
      </c>
    </row>
    <row r="43">
      <c r="A43" t="n">
        <v>39</v>
      </c>
      <c r="B43" t="inlineStr"/>
      <c r="C43" t="inlineStr"/>
      <c r="D43" t="n">
        <v>1</v>
      </c>
      <c r="E43" t="inlineStr"/>
      <c r="F43">
        <f>IF(AND(D43&gt;0,E43&gt;0),ROUND(D43*E43,2),"")</f>
        <v/>
      </c>
    </row>
    <row r="44">
      <c r="A44" t="n">
        <v>40</v>
      </c>
      <c r="B44" t="inlineStr"/>
      <c r="C44" t="inlineStr"/>
      <c r="D44" t="n">
        <v>1</v>
      </c>
      <c r="E44" t="inlineStr"/>
      <c r="F44">
        <f>IF(AND(D44&gt;0,E44&gt;0),ROUND(D44*E44,2),"")</f>
        <v/>
      </c>
    </row>
    <row r="45">
      <c r="A45" t="n">
        <v>41</v>
      </c>
      <c r="B45" t="inlineStr"/>
      <c r="C45" t="inlineStr"/>
      <c r="D45" t="n">
        <v>1</v>
      </c>
      <c r="E45" t="inlineStr"/>
      <c r="F45">
        <f>IF(AND(D45&gt;0,E45&gt;0),ROUND(D45*E45,2),"")</f>
        <v/>
      </c>
    </row>
    <row r="46">
      <c r="A46" t="n">
        <v>42</v>
      </c>
      <c r="B46" t="inlineStr"/>
      <c r="C46" t="inlineStr"/>
      <c r="D46" t="n">
        <v>1</v>
      </c>
      <c r="E46" t="inlineStr"/>
      <c r="F46">
        <f>IF(AND(D46&gt;0,E46&gt;0),ROUND(D46*E46,2),"")</f>
        <v/>
      </c>
    </row>
    <row r="47">
      <c r="A47" t="n">
        <v>43</v>
      </c>
      <c r="B47" t="inlineStr"/>
      <c r="C47" t="inlineStr"/>
      <c r="D47" t="n">
        <v>1</v>
      </c>
      <c r="E47" t="inlineStr"/>
      <c r="F47">
        <f>IF(AND(D47&gt;0,E47&gt;0),ROUND(D47*E47,2),"")</f>
        <v/>
      </c>
    </row>
    <row r="48">
      <c r="A48" t="n">
        <v>44</v>
      </c>
      <c r="B48" t="inlineStr"/>
      <c r="C48" t="inlineStr"/>
      <c r="D48" t="n">
        <v>1</v>
      </c>
      <c r="E48" t="inlineStr"/>
      <c r="F48">
        <f>IF(AND(D48&gt;0,E48&gt;0),ROUND(D48*E48,2),"")</f>
        <v/>
      </c>
    </row>
    <row r="49">
      <c r="A49" t="n">
        <v>45</v>
      </c>
      <c r="B49" t="inlineStr"/>
      <c r="C49" t="inlineStr"/>
      <c r="D49" t="n">
        <v>1</v>
      </c>
      <c r="E49" t="inlineStr"/>
      <c r="F49">
        <f>IF(AND(D49&gt;0,E49&gt;0),ROUND(D49*E49,2),"")</f>
        <v/>
      </c>
    </row>
    <row r="50">
      <c r="A50" t="n">
        <v>46</v>
      </c>
      <c r="B50" t="inlineStr"/>
      <c r="C50" t="inlineStr"/>
      <c r="D50" t="n">
        <v>1</v>
      </c>
      <c r="E50" t="inlineStr"/>
      <c r="F50">
        <f>IF(AND(D50&gt;0,E50&gt;0),ROUND(D50*E50,2),"")</f>
        <v/>
      </c>
    </row>
    <row r="51">
      <c r="A51" t="n">
        <v>47</v>
      </c>
      <c r="B51" t="inlineStr"/>
      <c r="C51" t="inlineStr"/>
      <c r="D51" t="n">
        <v>1</v>
      </c>
      <c r="E51" t="inlineStr"/>
      <c r="F51">
        <f>IF(AND(D51&gt;0,E51&gt;0),ROUND(D51*E51,2),"")</f>
        <v/>
      </c>
    </row>
    <row r="52">
      <c r="A52" t="n">
        <v>48</v>
      </c>
      <c r="B52" t="inlineStr"/>
      <c r="C52" t="inlineStr"/>
      <c r="D52" t="n">
        <v>1</v>
      </c>
      <c r="E52" t="inlineStr"/>
      <c r="F52">
        <f>IF(AND(D52&gt;0,E52&gt;0),ROUND(D52*E52,2),"")</f>
        <v/>
      </c>
    </row>
    <row r="53">
      <c r="A53" t="n">
        <v>49</v>
      </c>
      <c r="B53" t="inlineStr"/>
      <c r="C53" t="inlineStr"/>
      <c r="D53" t="n">
        <v>1</v>
      </c>
      <c r="E53" t="inlineStr"/>
      <c r="F53">
        <f>IF(AND(D53&gt;0,E53&gt;0),ROUND(D53*E53,2),"")</f>
        <v/>
      </c>
    </row>
    <row r="54">
      <c r="A54" t="n">
        <v>50</v>
      </c>
      <c r="B54" t="inlineStr"/>
      <c r="C54" t="inlineStr"/>
      <c r="D54" t="n">
        <v>1</v>
      </c>
      <c r="E54" t="inlineStr"/>
      <c r="F54">
        <f>IF(AND(D54&gt;0,E54&gt;0),ROUND(D54*E54,2),"")</f>
        <v/>
      </c>
    </row>
    <row r="55">
      <c r="E55" t="inlineStr">
        <is>
          <t>TOTAL</t>
        </is>
      </c>
      <c r="F55">
        <f>SUM(F5:F54)</f>
        <v/>
      </c>
    </row>
  </sheetData>
  <dataValidations count="1">
    <dataValidation sqref="B5 B6 B7 B8 B9 B10 B11 B12 B13 B14 B15 B16 B17 B18 B19 B20 B21 B22 B23 B24 B25 B26 B27 B28 B29 B30 B31 B32 B33 B34 B35 B36 B37 B38 B39 B40 B41 B42 B43 B44 B45 B46 B47 B48 B49 B50 B51 B52 B53 B54" showErrorMessage="1" showInputMessage="1" allowBlank="1" type="list">
      <formula1>'Productos'!$A$2:$A$271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1"/>
  <sheetViews>
    <sheetView workbookViewId="0">
      <selection activeCell="A1" sqref="A1"/>
    </sheetView>
  </sheetViews>
  <sheetFormatPr baseColWidth="8" defaultRowHeight="15"/>
  <cols>
    <col width="12" customWidth="1" min="1" max="1"/>
    <col width="60" customWidth="1" min="2" max="2"/>
    <col width="14" customWidth="1" min="3" max="3"/>
    <col width="14" customWidth="1" min="4" max="4"/>
    <col width="15" customWidth="1" min="5" max="5"/>
    <col width="22" customWidth="1" min="6" max="6"/>
    <col width="21" customWidth="1" min="7" max="7"/>
  </cols>
  <sheetData>
    <row r="1">
      <c r="A1" t="inlineStr">
        <is>
          <t>codigo</t>
        </is>
      </c>
      <c r="B1" t="inlineStr">
        <is>
          <t>descripcion</t>
        </is>
      </c>
      <c r="C1" t="inlineStr">
        <is>
          <t>costo</t>
        </is>
      </c>
      <c r="D1" t="inlineStr">
        <is>
          <t>precio</t>
        </is>
      </c>
      <c r="E1" t="inlineStr">
        <is>
          <t>margen_bruto</t>
        </is>
      </c>
      <c r="F1" t="inlineStr">
        <is>
          <t>markup</t>
        </is>
      </c>
      <c r="G1" t="inlineStr">
        <is>
          <t>margen_%</t>
        </is>
      </c>
    </row>
    <row r="2">
      <c r="A2" t="n">
        <v/>
      </c>
      <c r="B2" t="inlineStr">
        <is>
          <t>LATEX INTERIOR MATE</t>
        </is>
      </c>
      <c r="C2" t="n">
        <v/>
      </c>
      <c r="D2" t="n">
        <v/>
      </c>
      <c r="E2" t="n">
        <v/>
      </c>
      <c r="F2" t="n">
        <v/>
      </c>
      <c r="G2" t="n">
        <v/>
      </c>
    </row>
    <row r="3">
      <c r="A3" t="n">
        <v>10178</v>
      </c>
      <c r="B3" t="inlineStr">
        <is>
          <t>Albalatex Extra Mate Blanco 1L</t>
        </is>
      </c>
      <c r="C3" t="n">
        <v>794995565</v>
      </c>
      <c r="D3" t="n">
        <v>9781464461</v>
      </c>
      <c r="E3" t="n">
        <v>8986468896</v>
      </c>
      <c r="F3" t="n">
        <v>12.30379751992704</v>
      </c>
      <c r="G3" t="n">
        <v>0.9187242801760663</v>
      </c>
    </row>
    <row r="4">
      <c r="A4" t="n">
        <v>10179</v>
      </c>
      <c r="B4" t="inlineStr">
        <is>
          <t>Albalatex Extra Mate Blanco 4L</t>
        </is>
      </c>
      <c r="C4" t="n">
        <v>258375741</v>
      </c>
      <c r="D4" t="n">
        <v>3179002801</v>
      </c>
      <c r="E4" t="n">
        <v>2920627060</v>
      </c>
      <c r="F4" t="n">
        <v>12.30379751866875</v>
      </c>
      <c r="G4" t="n">
        <v>0.9187242801677544</v>
      </c>
    </row>
    <row r="5">
      <c r="A5" t="n">
        <v>10180</v>
      </c>
      <c r="B5" t="inlineStr">
        <is>
          <t>Albalatex Extra Mate Blanco 10L</t>
        </is>
      </c>
      <c r="C5" t="n">
        <v>556505625</v>
      </c>
      <c r="D5" t="n">
        <v>6847132529</v>
      </c>
      <c r="E5" t="n">
        <v>6290626904</v>
      </c>
      <c r="F5" t="n">
        <v>12.30379752046531</v>
      </c>
      <c r="G5" t="n">
        <v>0.918724280179622</v>
      </c>
    </row>
    <row r="6">
      <c r="A6" t="n">
        <v>10181</v>
      </c>
      <c r="B6" t="inlineStr">
        <is>
          <t>Albalatex Extra Mate Blanco 20L</t>
        </is>
      </c>
      <c r="C6" t="n">
        <v>920141677</v>
      </c>
      <c r="D6" t="n">
        <v>1132123688</v>
      </c>
      <c r="E6" t="n">
        <v>211982011</v>
      </c>
      <c r="F6" t="n">
        <v>1.230379751617315</v>
      </c>
      <c r="G6" t="n">
        <v>0.1872428015126913</v>
      </c>
    </row>
    <row r="7">
      <c r="A7" t="n">
        <v>10151</v>
      </c>
      <c r="B7" t="inlineStr">
        <is>
          <t>Albacryl interiores Blanco 1L</t>
        </is>
      </c>
      <c r="C7" t="n">
        <v>508842555</v>
      </c>
      <c r="D7" t="n">
        <v>6260695766</v>
      </c>
      <c r="E7" t="n">
        <v>5751853211</v>
      </c>
      <c r="F7" t="n">
        <v>12.30379751945079</v>
      </c>
      <c r="G7" t="n">
        <v>0.9187242801729203</v>
      </c>
    </row>
    <row r="8">
      <c r="A8" t="n">
        <v>10152</v>
      </c>
      <c r="B8" t="inlineStr">
        <is>
          <t>Albacryl interiores Blanco 4L</t>
        </is>
      </c>
      <c r="C8" t="n">
        <v>1653629185</v>
      </c>
      <c r="D8" t="n">
        <v>2034591867</v>
      </c>
      <c r="E8" t="n">
        <v>380962682</v>
      </c>
      <c r="F8" t="n">
        <v>1.230379752278018</v>
      </c>
      <c r="G8" t="n">
        <v>0.1872428019491341</v>
      </c>
    </row>
    <row r="9">
      <c r="A9" t="n">
        <v>10153</v>
      </c>
      <c r="B9" t="inlineStr">
        <is>
          <t>Albacryl interiores Blanco 10L</t>
        </is>
      </c>
      <c r="C9" t="n">
        <v>3561636</v>
      </c>
      <c r="D9" t="n">
        <v>4382164818</v>
      </c>
      <c r="E9" t="n">
        <v>4378603182</v>
      </c>
      <c r="F9" t="n">
        <v>1230.3797518893</v>
      </c>
      <c r="G9" t="n">
        <v>0.9991872428016924</v>
      </c>
    </row>
    <row r="10">
      <c r="A10" t="n">
        <v>10154</v>
      </c>
      <c r="B10" t="inlineStr">
        <is>
          <t>Albacryl interiores Blanco 20L</t>
        </is>
      </c>
      <c r="C10" t="n">
        <v>635996452</v>
      </c>
      <c r="D10" t="n">
        <v>7825171569</v>
      </c>
      <c r="E10" t="n">
        <v>7189175117</v>
      </c>
      <c r="F10" t="n">
        <v>12.30379752024151</v>
      </c>
      <c r="G10" t="n">
        <v>0.9187242801781437</v>
      </c>
    </row>
    <row r="11">
      <c r="A11" t="n">
        <v>10042</v>
      </c>
      <c r="B11" t="inlineStr">
        <is>
          <t>Alba Constructor Latex Interior 1L</t>
        </is>
      </c>
      <c r="C11" t="n">
        <v>42303157</v>
      </c>
      <c r="D11" t="n">
        <v>5421765398</v>
      </c>
      <c r="E11" t="n">
        <v>5379462241</v>
      </c>
      <c r="F11" t="n">
        <v>128.16455750572</v>
      </c>
      <c r="G11" t="n">
        <v>0.9921975308972969</v>
      </c>
    </row>
    <row r="12">
      <c r="A12" t="n">
        <v>10043</v>
      </c>
      <c r="B12" t="inlineStr">
        <is>
          <t>Alba Constructor Latex Interior 4L</t>
        </is>
      </c>
      <c r="C12" t="n">
        <v>1374808955</v>
      </c>
      <c r="D12" t="n">
        <v>1762017814</v>
      </c>
      <c r="E12" t="n">
        <v>387208859</v>
      </c>
      <c r="F12" t="n">
        <v>1.2816455752574</v>
      </c>
      <c r="G12" t="n">
        <v>0.2197530898515649</v>
      </c>
    </row>
    <row r="13">
      <c r="A13" t="n">
        <v>10044</v>
      </c>
      <c r="B13" t="inlineStr">
        <is>
          <t>Alba Constructor Latex Interior 10L</t>
        </is>
      </c>
      <c r="C13" t="n">
        <v>2961133695</v>
      </c>
      <c r="D13" t="n">
        <v>3734401915</v>
      </c>
      <c r="E13" t="n">
        <v>773268220</v>
      </c>
      <c r="F13" t="n">
        <v>1.261139245859009</v>
      </c>
      <c r="G13" t="n">
        <v>0.2070661481009871</v>
      </c>
    </row>
    <row r="14">
      <c r="A14" t="n">
        <v>10045</v>
      </c>
      <c r="B14" t="inlineStr">
        <is>
          <t>Alba Constructor Latex Interior 20L</t>
        </is>
      </c>
      <c r="C14" t="n">
        <v>5287720035</v>
      </c>
      <c r="D14" t="n">
        <v>6614335393</v>
      </c>
      <c r="E14" t="n">
        <v>1326615358</v>
      </c>
      <c r="F14" t="n">
        <v>1.25088608118792</v>
      </c>
      <c r="G14" t="n">
        <v>0.2005666902534103</v>
      </c>
    </row>
    <row r="15">
      <c r="A15" t="n">
        <v>20595</v>
      </c>
      <c r="B15" t="inlineStr">
        <is>
          <t>Tersuave Tersinol Interior Blanco 4L</t>
        </is>
      </c>
      <c r="C15" t="n">
        <v>1045357625</v>
      </c>
      <c r="D15" t="n">
        <v>1339777974</v>
      </c>
      <c r="E15" t="n">
        <v>294420349</v>
      </c>
      <c r="F15" t="n">
        <v>1.281645574642458</v>
      </c>
      <c r="G15" t="n">
        <v>0.2197530894771972</v>
      </c>
    </row>
    <row r="16">
      <c r="A16" t="n">
        <v>20593</v>
      </c>
      <c r="B16" t="inlineStr">
        <is>
          <t>Tersuave Tersinol Interior Blanco 10L</t>
        </is>
      </c>
      <c r="C16" t="n">
        <v>2435792385</v>
      </c>
      <c r="D16" t="n">
        <v>3071873371</v>
      </c>
      <c r="E16" t="n">
        <v>636080986</v>
      </c>
      <c r="F16" t="n">
        <v>1.261139245658657</v>
      </c>
      <c r="G16" t="n">
        <v>0.2070661479750169</v>
      </c>
    </row>
    <row r="17">
      <c r="A17" t="n">
        <v>20594</v>
      </c>
      <c r="B17" t="inlineStr">
        <is>
          <t>Tersuave Tersinol Interior Blanco 20L</t>
        </is>
      </c>
      <c r="C17" t="n">
        <v>459381208</v>
      </c>
      <c r="D17" t="n">
        <v>5793436702</v>
      </c>
      <c r="E17" t="n">
        <v>5334055494</v>
      </c>
      <c r="F17" t="n">
        <v>12.61139245817822</v>
      </c>
      <c r="G17" t="n">
        <v>0.9207066148075091</v>
      </c>
    </row>
    <row r="18">
      <c r="A18" t="n">
        <v>20702</v>
      </c>
      <c r="B18" t="inlineStr">
        <is>
          <t>Mundo Deco Latex Interior Blanco 4L</t>
        </is>
      </c>
      <c r="C18" t="n">
        <v>633848995</v>
      </c>
      <c r="D18" t="n">
        <v>84486455</v>
      </c>
      <c r="E18" t="n">
        <v>-549362540</v>
      </c>
      <c r="F18" t="n">
        <v>0.1332911397926883</v>
      </c>
      <c r="G18" t="n">
        <v>-6.502374137960931</v>
      </c>
    </row>
    <row r="19">
      <c r="A19" t="n">
        <v>20704</v>
      </c>
      <c r="B19" t="inlineStr">
        <is>
          <t>Mundo Deco Latex Interior Blanco 10L</t>
        </is>
      </c>
      <c r="C19" t="n">
        <v>134294628</v>
      </c>
      <c r="D19" t="n">
        <v>1790028404</v>
      </c>
      <c r="E19" t="n">
        <v>1655733776</v>
      </c>
      <c r="F19" t="n">
        <v>13.32911398362115</v>
      </c>
      <c r="G19" t="n">
        <v>0.924976258644888</v>
      </c>
    </row>
    <row r="20">
      <c r="A20" t="n">
        <v>20703</v>
      </c>
      <c r="B20" t="inlineStr">
        <is>
          <t>Mundo Deco Latex Interior Blanco 20L</t>
        </is>
      </c>
      <c r="C20" t="n">
        <v>2471583335</v>
      </c>
      <c r="D20" t="n">
        <v>3294401598</v>
      </c>
      <c r="E20" t="n">
        <v>822818263</v>
      </c>
      <c r="F20" t="n">
        <v>1.332911397867149</v>
      </c>
      <c r="G20" t="n">
        <v>0.2497625861702851</v>
      </c>
    </row>
    <row r="21">
      <c r="A21" t="n">
        <v/>
      </c>
      <c r="B21" t="inlineStr">
        <is>
          <t>LATEX EXTERIOR MATE</t>
        </is>
      </c>
      <c r="C21" t="n">
        <v>0</v>
      </c>
      <c r="D21" t="n">
        <v/>
      </c>
      <c r="E21" t="n">
        <v/>
      </c>
      <c r="F21" t="n">
        <v/>
      </c>
      <c r="G21" t="n">
        <v/>
      </c>
    </row>
    <row r="22">
      <c r="A22" t="n">
        <v>10559</v>
      </c>
      <c r="B22" t="inlineStr">
        <is>
          <t>Duralba Latex Acrílico 1L</t>
        </is>
      </c>
      <c r="C22" t="n">
        <v>789583275</v>
      </c>
      <c r="D22" t="n">
        <v>9876787286</v>
      </c>
      <c r="E22" t="n">
        <v>9087204011</v>
      </c>
      <c r="F22" t="n">
        <v>12.5088608114198</v>
      </c>
      <c r="G22" t="n">
        <v>0.920056669022405</v>
      </c>
    </row>
    <row r="23">
      <c r="A23" t="n">
        <v>10560</v>
      </c>
      <c r="B23" t="inlineStr">
        <is>
          <t>Duralba Latex Acrílico 4L</t>
        </is>
      </c>
      <c r="C23" t="n">
        <v>256594923</v>
      </c>
      <c r="D23" t="n">
        <v>3209710177</v>
      </c>
      <c r="E23" t="n">
        <v>2953115254</v>
      </c>
      <c r="F23" t="n">
        <v>12.5088608124955</v>
      </c>
      <c r="G23" t="n">
        <v>0.9200566690292797</v>
      </c>
    </row>
    <row r="24">
      <c r="A24" t="n">
        <v>10561</v>
      </c>
      <c r="B24" t="inlineStr">
        <is>
          <t>Duralba Latex Acrílico 10L</t>
        </is>
      </c>
      <c r="C24" t="n">
        <v>552664645</v>
      </c>
      <c r="D24" t="n">
        <v>691320512</v>
      </c>
      <c r="E24" t="n">
        <v>138655867</v>
      </c>
      <c r="F24" t="n">
        <v>1.250886081196672</v>
      </c>
      <c r="G24" t="n">
        <v>0.2005666902590039</v>
      </c>
    </row>
    <row r="25">
      <c r="A25" t="n">
        <v>10562</v>
      </c>
      <c r="B25" t="inlineStr">
        <is>
          <t>Duralba Latex Acrílico 20L</t>
        </is>
      </c>
      <c r="C25" t="n">
        <v>9868961635</v>
      </c>
      <c r="D25" t="n">
        <v>1194019439</v>
      </c>
      <c r="E25" t="n">
        <v>-8674942196</v>
      </c>
      <c r="F25" t="n">
        <v>0.1209873422514323</v>
      </c>
      <c r="G25" t="n">
        <v>-7.265327441624676</v>
      </c>
    </row>
    <row r="26">
      <c r="A26" t="n">
        <v>10158</v>
      </c>
      <c r="B26" t="inlineStr">
        <is>
          <t>Albafrent Latex Exterior Blanco 1L</t>
        </is>
      </c>
      <c r="C26" t="n">
        <v>63166662</v>
      </c>
      <c r="D26" t="n">
        <v>7577600738</v>
      </c>
      <c r="E26" t="n">
        <v>7514434076</v>
      </c>
      <c r="F26" t="n">
        <v>119.962025823052</v>
      </c>
      <c r="G26" t="n">
        <v>0.9916640287362684</v>
      </c>
    </row>
    <row r="27">
      <c r="A27" t="n">
        <v>10159</v>
      </c>
      <c r="B27" t="inlineStr">
        <is>
          <t>Albafrent Latex Exterior Blanco 4L</t>
        </is>
      </c>
      <c r="C27" t="n">
        <v>205282922</v>
      </c>
      <c r="D27" t="n">
        <v>2462615519</v>
      </c>
      <c r="E27" t="n">
        <v>2257332597</v>
      </c>
      <c r="F27" t="n">
        <v>11.99620258230736</v>
      </c>
      <c r="G27" t="n">
        <v>0.9166402873626981</v>
      </c>
    </row>
    <row r="28">
      <c r="A28" t="n">
        <v>10160</v>
      </c>
      <c r="B28" t="inlineStr">
        <is>
          <t>Albafrent Latex Exterior Blanco 10L</t>
        </is>
      </c>
      <c r="C28" t="n">
        <v>442131716</v>
      </c>
      <c r="D28" t="n">
        <v>5303901633</v>
      </c>
      <c r="E28" t="n">
        <v>4861769917</v>
      </c>
      <c r="F28" t="n">
        <v>11.99620258185685</v>
      </c>
      <c r="G28" t="n">
        <v>0.9166402873595676</v>
      </c>
    </row>
    <row r="29">
      <c r="A29" t="n">
        <v>10161</v>
      </c>
      <c r="B29" t="inlineStr">
        <is>
          <t>Albafrent Latex Exterior Blanco 20L</t>
        </is>
      </c>
      <c r="C29" t="n">
        <v>7895221685</v>
      </c>
      <c r="D29" t="n">
        <v>9471267876</v>
      </c>
      <c r="E29" t="n">
        <v>1576046191</v>
      </c>
      <c r="F29" t="n">
        <v>1.19962025816125</v>
      </c>
      <c r="G29" t="n">
        <v>0.1664028735786968</v>
      </c>
    </row>
    <row r="30">
      <c r="A30" t="n">
        <v>11313</v>
      </c>
      <c r="B30" t="inlineStr">
        <is>
          <t>Alba constructor Latex Exterior/interior Blanco 1L</t>
        </is>
      </c>
      <c r="C30" t="n">
        <v>477765535</v>
      </c>
      <c r="D30" t="n">
        <v>6123260838</v>
      </c>
      <c r="E30" t="n">
        <v>5645495303</v>
      </c>
      <c r="F30" t="n">
        <v>12.81645574957599</v>
      </c>
      <c r="G30" t="n">
        <v>0.921975308966905</v>
      </c>
    </row>
    <row r="31">
      <c r="A31" t="n">
        <v>11314</v>
      </c>
      <c r="B31" t="inlineStr">
        <is>
          <t>Alba constructor Latex Exterior/interior Blanco 4L</t>
        </is>
      </c>
      <c r="C31" t="n">
        <v>1552890755</v>
      </c>
      <c r="D31" t="n">
        <v>1990255565</v>
      </c>
      <c r="E31" t="n">
        <v>437364810</v>
      </c>
      <c r="F31" t="n">
        <v>1.281645575254906</v>
      </c>
      <c r="G31" t="n">
        <v>0.2197530898500465</v>
      </c>
    </row>
    <row r="32">
      <c r="A32" t="n">
        <v>11315</v>
      </c>
      <c r="B32" t="inlineStr">
        <is>
          <t>Alba constructor Latex Exterior/interior Blanco 10L</t>
        </is>
      </c>
      <c r="C32" t="n">
        <v>334462063</v>
      </c>
      <c r="D32" t="n">
        <v>4183739393</v>
      </c>
      <c r="E32" t="n">
        <v>3849277330</v>
      </c>
      <c r="F32" t="n">
        <v>12.50886081211548</v>
      </c>
      <c r="G32" t="n">
        <v>0.9200566690268511</v>
      </c>
    </row>
    <row r="33">
      <c r="A33" t="n">
        <v>11316</v>
      </c>
      <c r="B33" t="inlineStr">
        <is>
          <t>Alba constructor Latex Exterior/interior Blanco 20L</t>
        </is>
      </c>
      <c r="C33" t="n">
        <v>5972462015</v>
      </c>
      <c r="D33" t="n">
        <v>7470869605</v>
      </c>
      <c r="E33" t="n">
        <v>1498407590</v>
      </c>
      <c r="F33" t="n">
        <v>1.250886081190087</v>
      </c>
      <c r="G33" t="n">
        <v>0.2005666902547953</v>
      </c>
    </row>
    <row r="34">
      <c r="A34" t="n">
        <v>20600</v>
      </c>
      <c r="B34" t="inlineStr">
        <is>
          <t>Tersuave Tersinol Latex Exterior/Interior Blanco 4L</t>
        </is>
      </c>
      <c r="C34" t="n">
        <v>1413742525</v>
      </c>
      <c r="D34" t="n">
        <v>1811916851</v>
      </c>
      <c r="E34" t="n">
        <v>398174326</v>
      </c>
      <c r="F34" t="n">
        <v>1.281645574748485</v>
      </c>
      <c r="G34" t="n">
        <v>0.2197530895417452</v>
      </c>
    </row>
    <row r="35">
      <c r="A35" t="n">
        <v>20598</v>
      </c>
      <c r="B35" t="inlineStr">
        <is>
          <t>Tersuave Tersinol Latex Exterior/Interior Blanco 10L</t>
        </is>
      </c>
      <c r="C35" t="n">
        <v>323846991</v>
      </c>
      <c r="D35" t="n">
        <v>3984547805</v>
      </c>
      <c r="E35" t="n">
        <v>3660700814</v>
      </c>
      <c r="F35" t="n">
        <v>12.30379752084836</v>
      </c>
      <c r="G35" t="n">
        <v>0.9187242801821524</v>
      </c>
    </row>
    <row r="36">
      <c r="A36" t="n">
        <v>20599</v>
      </c>
      <c r="B36" t="inlineStr">
        <is>
          <t>Tersuave Tersinol Latex Exterior/Interior Blanco 20L</t>
        </is>
      </c>
      <c r="C36" t="n">
        <v>616459831</v>
      </c>
      <c r="D36" t="n">
        <v>758479694</v>
      </c>
      <c r="E36" t="n">
        <v>142019863</v>
      </c>
      <c r="F36" t="n">
        <v>1.230379752026373</v>
      </c>
      <c r="G36" t="n">
        <v>0.1872428017829044</v>
      </c>
    </row>
    <row r="37">
      <c r="A37" t="n">
        <v>20700</v>
      </c>
      <c r="B37" t="inlineStr">
        <is>
          <t>Mundo Deco Latex Exterior/Interior Blanco 4L</t>
        </is>
      </c>
      <c r="C37" t="n">
        <v>759204615</v>
      </c>
      <c r="D37" t="n">
        <v>1011952485</v>
      </c>
      <c r="E37" t="n">
        <v>252747870</v>
      </c>
      <c r="F37" t="n">
        <v>1.332911398332319</v>
      </c>
      <c r="G37" t="n">
        <v>0.249762586432109</v>
      </c>
    </row>
    <row r="38">
      <c r="A38" t="n">
        <v>20705</v>
      </c>
      <c r="B38" t="inlineStr">
        <is>
          <t>Mundo Deco Latex Exterior/Interior Blanco 10L</t>
        </is>
      </c>
      <c r="C38" t="n">
        <v>1638439855</v>
      </c>
      <c r="D38" t="n">
        <v>2183895158</v>
      </c>
      <c r="E38" t="n">
        <v>545455303</v>
      </c>
      <c r="F38" t="n">
        <v>1.332911398203262</v>
      </c>
      <c r="G38" t="n">
        <v>0.2497625863594685</v>
      </c>
    </row>
    <row r="39">
      <c r="A39" t="n">
        <v>20701</v>
      </c>
      <c r="B39" t="inlineStr">
        <is>
          <t>Mundo Deco Latex Exterior/Interior Blanco 20L</t>
        </is>
      </c>
      <c r="C39" t="n">
        <v>3015256595</v>
      </c>
      <c r="D39" t="n">
        <v>4019069883</v>
      </c>
      <c r="E39" t="n">
        <v>1003813288</v>
      </c>
      <c r="F39" t="n">
        <v>1.332911397877234</v>
      </c>
      <c r="G39" t="n">
        <v>0.2497625861759618</v>
      </c>
    </row>
    <row r="40">
      <c r="A40" t="n">
        <v>72125</v>
      </c>
      <c r="B40" t="inlineStr">
        <is>
          <t>Alaska Latex Exterior/Interior Blanco 20L</t>
        </is>
      </c>
      <c r="C40" t="n">
        <v>294673002</v>
      </c>
      <c r="D40" t="n">
        <v>392773003</v>
      </c>
      <c r="E40" t="n">
        <v>98100001</v>
      </c>
      <c r="F40" t="n">
        <v>1.332911397834811</v>
      </c>
      <c r="G40" t="n">
        <v>0.2497625861520834</v>
      </c>
    </row>
    <row r="41">
      <c r="A41" t="n">
        <v/>
      </c>
      <c r="B41" t="n">
        <v/>
      </c>
      <c r="C41" t="n">
        <v/>
      </c>
      <c r="D41" t="n">
        <v/>
      </c>
      <c r="E41" t="n">
        <v/>
      </c>
      <c r="F41" t="n">
        <v/>
      </c>
      <c r="G41" t="n">
        <v/>
      </c>
    </row>
    <row r="42">
      <c r="A42" t="n">
        <v>10266</v>
      </c>
      <c r="B42" t="n">
        <v/>
      </c>
      <c r="C42" t="n">
        <v/>
      </c>
      <c r="D42" t="n">
        <v/>
      </c>
      <c r="E42" t="n">
        <v/>
      </c>
      <c r="F42" t="n">
        <v/>
      </c>
      <c r="G42" t="n">
        <v/>
      </c>
    </row>
    <row r="43">
      <c r="A43" t="n">
        <v>10267</v>
      </c>
      <c r="B43" t="n">
        <v/>
      </c>
      <c r="C43" t="n">
        <v/>
      </c>
      <c r="D43" t="n">
        <v/>
      </c>
      <c r="E43" t="n">
        <v/>
      </c>
      <c r="F43" t="n">
        <v/>
      </c>
      <c r="G43" t="n">
        <v/>
      </c>
    </row>
    <row r="44">
      <c r="A44" t="n">
        <v>10268</v>
      </c>
      <c r="B44" t="n">
        <v/>
      </c>
      <c r="C44" t="n">
        <v/>
      </c>
      <c r="D44" t="n">
        <v/>
      </c>
      <c r="E44" t="n">
        <v/>
      </c>
      <c r="F44" t="n">
        <v/>
      </c>
      <c r="G44" t="n">
        <v/>
      </c>
    </row>
    <row r="45">
      <c r="A45" t="n">
        <v>10269</v>
      </c>
      <c r="B45" t="n">
        <v/>
      </c>
      <c r="C45" t="n">
        <v/>
      </c>
      <c r="D45" t="n">
        <v/>
      </c>
      <c r="E45" t="n">
        <v/>
      </c>
      <c r="F45" t="n">
        <v/>
      </c>
      <c r="G45" t="n">
        <v/>
      </c>
    </row>
    <row r="46">
      <c r="A46" t="n">
        <v>10314</v>
      </c>
      <c r="B46" t="n">
        <v/>
      </c>
      <c r="C46" t="n">
        <v/>
      </c>
      <c r="D46" t="n">
        <v/>
      </c>
      <c r="E46" t="n">
        <v/>
      </c>
      <c r="F46" t="n">
        <v/>
      </c>
      <c r="G46" t="n">
        <v/>
      </c>
    </row>
    <row r="47">
      <c r="A47" t="n">
        <v>10315</v>
      </c>
      <c r="B47" t="inlineStr">
        <is>
          <t>ESMALTES SINTÉTICOS</t>
        </is>
      </c>
      <c r="C47" t="n">
        <v/>
      </c>
      <c r="D47" t="n">
        <v/>
      </c>
      <c r="E47" t="n">
        <v/>
      </c>
      <c r="F47" t="n">
        <v/>
      </c>
      <c r="G47" t="n">
        <v/>
      </c>
    </row>
    <row r="48">
      <c r="A48" t="n">
        <v>10316</v>
      </c>
      <c r="B48" t="inlineStr">
        <is>
          <t>Albalux Blanco 0,25L</t>
        </is>
      </c>
      <c r="C48" t="n">
        <v>42669796</v>
      </c>
      <c r="D48" t="n">
        <v>5250005302</v>
      </c>
      <c r="E48" t="n">
        <v>5207335506</v>
      </c>
      <c r="F48" t="n">
        <v>123.0379751991315</v>
      </c>
      <c r="G48" t="n">
        <v>0.9918724280175975</v>
      </c>
    </row>
    <row r="49">
      <c r="A49" t="n">
        <v>10317</v>
      </c>
      <c r="B49" t="inlineStr">
        <is>
          <t>Albalux Blanco 0,5L</t>
        </is>
      </c>
      <c r="C49" t="n">
        <v>65942643</v>
      </c>
      <c r="D49" t="n">
        <v>8113449274</v>
      </c>
      <c r="E49" t="n">
        <v>8047506631</v>
      </c>
      <c r="F49" t="n">
        <v>123.0379751991439</v>
      </c>
      <c r="G49" t="n">
        <v>0.9918724280175982</v>
      </c>
    </row>
    <row r="50">
      <c r="A50" t="n">
        <v>11076</v>
      </c>
      <c r="B50" t="inlineStr">
        <is>
          <t>Albalux Blanco 1L</t>
        </is>
      </c>
      <c r="C50" t="n">
        <v>112488337</v>
      </c>
      <c r="D50" t="n">
        <v>1384033722</v>
      </c>
      <c r="E50" t="n">
        <v>1271545385</v>
      </c>
      <c r="F50" t="n">
        <v>12.30379752169329</v>
      </c>
      <c r="G50" t="n">
        <v>0.9187242801877338</v>
      </c>
    </row>
    <row r="51">
      <c r="A51" t="n">
        <v>11077</v>
      </c>
      <c r="B51" t="inlineStr">
        <is>
          <t>Albalux Blanco 4L</t>
        </is>
      </c>
      <c r="C51" t="n">
        <v>387869144</v>
      </c>
      <c r="D51" t="n">
        <v>4772263412</v>
      </c>
      <c r="E51" t="n">
        <v>4384394268</v>
      </c>
      <c r="F51" t="n">
        <v>12.30379751991821</v>
      </c>
      <c r="G51" t="n">
        <v>0.918724280176008</v>
      </c>
    </row>
    <row r="52">
      <c r="A52" t="n">
        <v>11078</v>
      </c>
      <c r="B52" t="inlineStr">
        <is>
          <t>Albalux Negro 0,25L</t>
        </is>
      </c>
      <c r="C52" t="n">
        <v>362710725</v>
      </c>
      <c r="D52" t="n">
        <v>4462719319</v>
      </c>
      <c r="E52" t="n">
        <v>4100008594</v>
      </c>
      <c r="F52" t="n">
        <v>12.30379752073777</v>
      </c>
      <c r="G52" t="n">
        <v>0.9187242801814218</v>
      </c>
    </row>
    <row r="53">
      <c r="A53" t="n">
        <v>11069</v>
      </c>
      <c r="B53" t="inlineStr">
        <is>
          <t>Albalux Negro 0,5L</t>
        </is>
      </c>
      <c r="C53" t="n">
        <v>560521195</v>
      </c>
      <c r="D53" t="n">
        <v>6896539289</v>
      </c>
      <c r="E53" t="n">
        <v>6336018094</v>
      </c>
      <c r="F53" t="n">
        <v>12.30379752009199</v>
      </c>
      <c r="G53" t="n">
        <v>0.918724280177156</v>
      </c>
    </row>
    <row r="54">
      <c r="A54" t="n">
        <v>11070</v>
      </c>
      <c r="B54" t="inlineStr">
        <is>
          <t>Albalux Negro 1L</t>
        </is>
      </c>
      <c r="C54" t="n">
        <v>95605484</v>
      </c>
      <c r="D54" t="n">
        <v>1176310517</v>
      </c>
      <c r="E54" t="n">
        <v>1080705033</v>
      </c>
      <c r="F54" t="n">
        <v>12.30379752065268</v>
      </c>
      <c r="G54" t="n">
        <v>0.9187242801808597</v>
      </c>
    </row>
    <row r="55">
      <c r="A55" t="n">
        <v>11071</v>
      </c>
      <c r="B55" t="inlineStr">
        <is>
          <t>Albalux Negro 4L</t>
        </is>
      </c>
      <c r="C55" t="n">
        <v>3296870265</v>
      </c>
      <c r="D55" t="n">
        <v>4056402419</v>
      </c>
      <c r="E55" t="n">
        <v>759532154</v>
      </c>
      <c r="F55" t="n">
        <v>1.230379751991848</v>
      </c>
      <c r="G55" t="n">
        <v>0.1872428017600982</v>
      </c>
    </row>
    <row r="56">
      <c r="A56" t="n">
        <v>10093</v>
      </c>
      <c r="B56" t="inlineStr">
        <is>
          <t>Alba Satinol Esmalte Satinado Negro 0,5L</t>
        </is>
      </c>
      <c r="C56" t="n">
        <v>58260683</v>
      </c>
      <c r="D56" t="n">
        <v>716827647</v>
      </c>
      <c r="E56" t="n">
        <v>658566964</v>
      </c>
      <c r="F56" t="n">
        <v>12.30379751984713</v>
      </c>
      <c r="G56" t="n">
        <v>0.9187242801755385</v>
      </c>
    </row>
    <row r="57">
      <c r="A57" t="n">
        <v>10094</v>
      </c>
      <c r="B57" t="inlineStr">
        <is>
          <t>Alba Satinol Esmalte Satinado Negro 1L</t>
        </is>
      </c>
      <c r="C57" t="n">
        <v>993853575</v>
      </c>
      <c r="D57" t="n">
        <v>1222817315</v>
      </c>
      <c r="E57" t="n">
        <v>228963740</v>
      </c>
      <c r="F57" t="n">
        <v>1.230379751866365</v>
      </c>
      <c r="G57" t="n">
        <v>0.1872428016772072</v>
      </c>
    </row>
    <row r="58">
      <c r="A58" t="n">
        <v>10121</v>
      </c>
      <c r="B58" t="inlineStr">
        <is>
          <t>Alba Satinol Esmalte Satinado Negro 4L</t>
        </is>
      </c>
      <c r="C58" t="n">
        <v>342702711</v>
      </c>
      <c r="D58" t="n">
        <v>4216544766</v>
      </c>
      <c r="E58" t="n">
        <v>3873842055</v>
      </c>
      <c r="F58" t="n">
        <v>12.30379752087809</v>
      </c>
      <c r="G58" t="n">
        <v>0.9187242801823488</v>
      </c>
    </row>
    <row r="59">
      <c r="A59" t="n">
        <v>10122</v>
      </c>
      <c r="B59" t="inlineStr">
        <is>
          <t>Alba Satinol Esmalte Satinado Blanco 0,5L</t>
        </is>
      </c>
      <c r="C59" t="n">
        <v>68544034</v>
      </c>
      <c r="D59" t="n">
        <v>8433519155</v>
      </c>
      <c r="E59" t="n">
        <v>8364975121</v>
      </c>
      <c r="F59" t="n">
        <v>123.037975194165</v>
      </c>
      <c r="G59" t="n">
        <v>0.9918724280172694</v>
      </c>
    </row>
    <row r="60">
      <c r="A60" t="n">
        <v>10135</v>
      </c>
      <c r="B60" t="inlineStr">
        <is>
          <t>Alba Satinol Esmalte Satinado Blanco 1L</t>
        </is>
      </c>
      <c r="C60" t="n">
        <v>116661038</v>
      </c>
      <c r="D60" t="n">
        <v>143537379</v>
      </c>
      <c r="E60" t="n">
        <v>26876341</v>
      </c>
      <c r="F60" t="n">
        <v>1.230379751978548</v>
      </c>
      <c r="G60" t="n">
        <v>0.1872428017513125</v>
      </c>
    </row>
    <row r="61">
      <c r="A61" t="n">
        <v>10136</v>
      </c>
      <c r="B61" t="inlineStr">
        <is>
          <t>Alba Satinol Esmalte Satinado Blanco 4L</t>
        </is>
      </c>
      <c r="C61" t="n">
        <v>4031719575</v>
      </c>
      <c r="D61" t="n">
        <v>4960546131</v>
      </c>
      <c r="E61" t="n">
        <v>928826556</v>
      </c>
      <c r="F61" t="n">
        <v>1.230379752044139</v>
      </c>
      <c r="G61" t="n">
        <v>0.1872428017946397</v>
      </c>
    </row>
    <row r="62">
      <c r="A62" t="n">
        <v>20782</v>
      </c>
      <c r="B62" t="inlineStr">
        <is>
          <t>Alba Standard Esmalte Brillante Blanco 1L</t>
        </is>
      </c>
      <c r="C62" t="n">
        <v>67496494</v>
      </c>
      <c r="D62" t="n">
        <v>8304631955</v>
      </c>
      <c r="E62" t="n">
        <v>8237135461</v>
      </c>
      <c r="F62" t="n">
        <v>123.0379752020898</v>
      </c>
      <c r="G62" t="n">
        <v>0.9918724280177929</v>
      </c>
    </row>
    <row r="63">
      <c r="A63" t="n">
        <v>20219</v>
      </c>
      <c r="B63" t="inlineStr">
        <is>
          <t>Alba Standard Esmalte Brillante Blanco 4L</t>
        </is>
      </c>
      <c r="C63" t="n">
        <v>23272847</v>
      </c>
      <c r="D63" t="n">
        <v>2863443972</v>
      </c>
      <c r="E63" t="n">
        <v>2840171125</v>
      </c>
      <c r="F63" t="n">
        <v>123.0379751991667</v>
      </c>
      <c r="G63" t="n">
        <v>0.9918724280175998</v>
      </c>
    </row>
    <row r="64">
      <c r="A64" t="n">
        <v>20207</v>
      </c>
      <c r="B64" t="inlineStr">
        <is>
          <t>Alba Standard Esmalte Brillante Negro 1L</t>
        </is>
      </c>
      <c r="C64" t="n">
        <v>57370274</v>
      </c>
      <c r="D64" t="n">
        <v>705872235</v>
      </c>
      <c r="E64" t="n">
        <v>648501961</v>
      </c>
      <c r="F64" t="n">
        <v>12.30379752064632</v>
      </c>
      <c r="G64" t="n">
        <v>0.9187242801808178</v>
      </c>
    </row>
    <row r="65">
      <c r="A65" t="n">
        <v>20788</v>
      </c>
      <c r="B65" t="inlineStr">
        <is>
          <t>Alba Standard Esmalte Brillante Negro 4L</t>
        </is>
      </c>
      <c r="C65" t="n">
        <v>19781047</v>
      </c>
      <c r="D65" t="n">
        <v>243381997</v>
      </c>
      <c r="E65" t="n">
        <v>223600950</v>
      </c>
      <c r="F65" t="n">
        <v>12.30379751890787</v>
      </c>
      <c r="G65" t="n">
        <v>0.9187242801693339</v>
      </c>
    </row>
    <row r="66">
      <c r="A66" t="n">
        <v>20214</v>
      </c>
      <c r="B66" t="inlineStr">
        <is>
          <t>Alba Standard Esmalte Satinado Blanco 1L</t>
        </is>
      </c>
      <c r="C66" t="n">
        <v>75999027</v>
      </c>
      <c r="D66" t="n">
        <v>9350766399</v>
      </c>
      <c r="E66" t="n">
        <v>9274767372</v>
      </c>
      <c r="F66" t="n">
        <v>123.0379751967088</v>
      </c>
      <c r="G66" t="n">
        <v>0.9918724280174375</v>
      </c>
    </row>
    <row r="67">
      <c r="A67" t="n">
        <v>20215</v>
      </c>
      <c r="B67" t="inlineStr">
        <is>
          <t>Alba Standard Esmalte Satinado Blanco 4L</t>
        </is>
      </c>
      <c r="C67" t="n">
        <v>26205959</v>
      </c>
      <c r="D67" t="n">
        <v>3224328134</v>
      </c>
      <c r="E67" t="n">
        <v>3198122175</v>
      </c>
      <c r="F67" t="n">
        <v>123.0379752177739</v>
      </c>
      <c r="G67" t="n">
        <v>0.9918724280188289</v>
      </c>
    </row>
    <row r="68">
      <c r="A68" t="n">
        <v>20375</v>
      </c>
      <c r="B68" t="inlineStr">
        <is>
          <t>Tersuave Decolux Sintetico G1 Brillante Blanco 0,5L</t>
        </is>
      </c>
      <c r="C68" t="n">
        <v>362186955</v>
      </c>
      <c r="D68" t="n">
        <v>4456274959</v>
      </c>
      <c r="E68" t="n">
        <v>4094088004</v>
      </c>
      <c r="F68" t="n">
        <v>12.30379752081353</v>
      </c>
      <c r="G68" t="n">
        <v>0.9187242801819222</v>
      </c>
    </row>
    <row r="69">
      <c r="A69" t="n">
        <v>20376</v>
      </c>
      <c r="B69" t="inlineStr">
        <is>
          <t>Tersuave Decolux Sintetico G1 Brillante Blanco 1L</t>
        </is>
      </c>
      <c r="C69" t="n">
        <v>571345775</v>
      </c>
      <c r="D69" t="n">
        <v>702972273</v>
      </c>
      <c r="E69" t="n">
        <v>131626498</v>
      </c>
      <c r="F69" t="n">
        <v>1.230379752086204</v>
      </c>
      <c r="G69" t="n">
        <v>0.1872428018224269</v>
      </c>
    </row>
    <row r="70">
      <c r="A70" t="n">
        <v>20377</v>
      </c>
      <c r="B70" t="inlineStr">
        <is>
          <t>Tersuave Decolux Sintetico G1 Brillante Blanco 4L</t>
        </is>
      </c>
      <c r="C70" t="n">
        <v>213715619</v>
      </c>
      <c r="D70" t="n">
        <v>2629513703</v>
      </c>
      <c r="E70" t="n">
        <v>2415798084</v>
      </c>
      <c r="F70" t="n">
        <v>12.3037975198247</v>
      </c>
      <c r="G70" t="n">
        <v>0.9187242801753903</v>
      </c>
    </row>
    <row r="71">
      <c r="A71" t="n">
        <v>20378</v>
      </c>
      <c r="B71" t="inlineStr">
        <is>
          <t>Tersuave Decolux Sintetico G3 Brillante Negro 0,5L</t>
        </is>
      </c>
      <c r="C71" t="n">
        <v>317142735</v>
      </c>
      <c r="D71" t="n">
        <v>3902059996</v>
      </c>
      <c r="E71" t="n">
        <v>3584917261</v>
      </c>
      <c r="F71" t="n">
        <v>12.3037975188049</v>
      </c>
      <c r="G71" t="n">
        <v>0.9187242801686538</v>
      </c>
    </row>
    <row r="72">
      <c r="A72" t="n">
        <v>20379</v>
      </c>
      <c r="B72" t="inlineStr">
        <is>
          <t>Tersuave Decolux Sintetico G3 Brillante Negro 1L</t>
        </is>
      </c>
      <c r="C72" t="n">
        <v>491034375</v>
      </c>
      <c r="D72" t="n">
        <v>6041587525</v>
      </c>
      <c r="E72" t="n">
        <v>5550553150</v>
      </c>
      <c r="F72" t="n">
        <v>12.30379751926736</v>
      </c>
      <c r="G72" t="n">
        <v>0.9187242801717087</v>
      </c>
    </row>
    <row r="73">
      <c r="A73" t="n">
        <v>20380</v>
      </c>
      <c r="B73" t="inlineStr">
        <is>
          <t>Tersuave Decolux Sintetico G3 Brillante Negro 4L</t>
        </is>
      </c>
      <c r="C73" t="n">
        <v>178099259</v>
      </c>
      <c r="D73" t="n">
        <v>2191297221</v>
      </c>
      <c r="E73" t="n">
        <v>2013197962</v>
      </c>
      <c r="F73" t="n">
        <v>12.30379751888805</v>
      </c>
      <c r="G73" t="n">
        <v>0.918724280169203</v>
      </c>
    </row>
    <row r="74">
      <c r="A74" t="n">
        <v/>
      </c>
      <c r="B74" t="inlineStr">
        <is>
          <t>Tersuave Esmalte Sintético Satinado Blanco 0,5L</t>
        </is>
      </c>
      <c r="C74" t="n">
        <v>50159707</v>
      </c>
      <c r="D74" t="n">
        <v>6171548786</v>
      </c>
      <c r="E74" t="n">
        <v>6121389079</v>
      </c>
      <c r="F74" t="n">
        <v>123.0379752018886</v>
      </c>
      <c r="G74" t="n">
        <v>0.9918724280177796</v>
      </c>
    </row>
    <row r="75">
      <c r="A75" t="n">
        <v>10007</v>
      </c>
      <c r="B75" t="inlineStr">
        <is>
          <t>Tersuave Esmalte Sintético Satinado Blanco 1L</t>
        </is>
      </c>
      <c r="C75" t="n">
        <v>79490827</v>
      </c>
      <c r="D75" t="n">
        <v>9780390401</v>
      </c>
      <c r="E75" t="n">
        <v>9700899574</v>
      </c>
      <c r="F75" t="n">
        <v>123.0379751993271</v>
      </c>
      <c r="G75" t="n">
        <v>0.9918724280176103</v>
      </c>
    </row>
    <row r="76">
      <c r="A76" t="n">
        <v>10008</v>
      </c>
      <c r="B76" t="inlineStr">
        <is>
          <t>Tersuave Esmalte Sintético Satinado Blanco 4L</t>
        </is>
      </c>
      <c r="C76" t="n">
        <v>2915653</v>
      </c>
      <c r="D76" t="n">
        <v>3587360415</v>
      </c>
      <c r="E76" t="n">
        <v>3584444762</v>
      </c>
      <c r="F76" t="n">
        <v>1230.379751980088</v>
      </c>
      <c r="G76" t="n">
        <v>0.9991872428017523</v>
      </c>
    </row>
    <row r="77">
      <c r="A77" t="n">
        <v>10009</v>
      </c>
      <c r="B77" t="inlineStr">
        <is>
          <t>Tersuave Esmalte Sintético Satinado Negro 0,5L</t>
        </is>
      </c>
      <c r="C77" t="n">
        <v>42966599</v>
      </c>
      <c r="D77" t="n">
        <v>5286523342</v>
      </c>
      <c r="E77" t="n">
        <v>5243556743</v>
      </c>
      <c r="F77" t="n">
        <v>123.0379751955699</v>
      </c>
      <c r="G77" t="n">
        <v>0.9918724280173622</v>
      </c>
    </row>
    <row r="78">
      <c r="A78" t="n">
        <v>10010</v>
      </c>
      <c r="B78" t="inlineStr">
        <is>
          <t>Tersuave Esmalte Sintético Satinado Negro 1L</t>
        </is>
      </c>
      <c r="C78" t="n">
        <v>664402245</v>
      </c>
      <c r="D78" t="n">
        <v>8174670694</v>
      </c>
      <c r="E78" t="n">
        <v>7510268449</v>
      </c>
      <c r="F78" t="n">
        <v>12.30379751952825</v>
      </c>
      <c r="G78" t="n">
        <v>0.918724280173432</v>
      </c>
    </row>
    <row r="79">
      <c r="A79" t="n">
        <v>10065</v>
      </c>
      <c r="B79" t="inlineStr">
        <is>
          <t>Tersuave Esmalte Sintético Satinado Negro 4L</t>
        </is>
      </c>
      <c r="C79" t="n">
        <v>2430903865</v>
      </c>
      <c r="D79" t="n">
        <v>2990934895</v>
      </c>
      <c r="E79" t="n">
        <v>560031030</v>
      </c>
      <c r="F79" t="n">
        <v>1.230379752183248</v>
      </c>
      <c r="G79" t="n">
        <v>0.1872428018865319</v>
      </c>
    </row>
    <row r="80">
      <c r="A80" t="n">
        <v>10066</v>
      </c>
      <c r="B80" t="inlineStr">
        <is>
          <t>LATEX CIELO RASO</t>
        </is>
      </c>
      <c r="C80" t="n">
        <v/>
      </c>
      <c r="D80" t="n">
        <v/>
      </c>
      <c r="E80" t="n">
        <v/>
      </c>
      <c r="F80" t="n">
        <v/>
      </c>
      <c r="G80" t="n">
        <v/>
      </c>
    </row>
    <row r="81">
      <c r="A81" t="n">
        <v>10067</v>
      </c>
      <c r="B81" t="inlineStr">
        <is>
          <t>Alba Cielos Rasos Antihongo 1L</t>
        </is>
      </c>
      <c r="C81" t="n">
        <v>58260683</v>
      </c>
      <c r="D81" t="n">
        <v>716827647</v>
      </c>
      <c r="E81" t="n">
        <v>658566964</v>
      </c>
      <c r="F81" t="n">
        <v>12.30379751984713</v>
      </c>
      <c r="G81" t="n">
        <v>0.9187242801755385</v>
      </c>
    </row>
    <row r="82">
      <c r="A82" t="n">
        <v>10068</v>
      </c>
      <c r="B82" t="inlineStr">
        <is>
          <t>Alba Cielos Rasos Antihongo 4L</t>
        </is>
      </c>
      <c r="C82" t="n">
        <v>1893341255</v>
      </c>
      <c r="D82" t="n">
        <v>2329528744</v>
      </c>
      <c r="E82" t="n">
        <v>436187489</v>
      </c>
      <c r="F82" t="n">
        <v>1.230379752117111</v>
      </c>
      <c r="G82" t="n">
        <v>0.1872428018428434</v>
      </c>
    </row>
    <row r="83">
      <c r="A83" t="n">
        <v>20664</v>
      </c>
      <c r="B83" t="inlineStr">
        <is>
          <t>Alba Cielos Rasos Antihongo 10L</t>
        </is>
      </c>
      <c r="C83" t="n">
        <v>4077811335</v>
      </c>
      <c r="D83" t="n">
        <v>5017256499</v>
      </c>
      <c r="E83" t="n">
        <v>939445164</v>
      </c>
      <c r="F83" t="n">
        <v>1.230379751985264</v>
      </c>
      <c r="G83" t="n">
        <v>0.1872428017557489</v>
      </c>
    </row>
    <row r="84">
      <c r="A84" t="n">
        <v>20665</v>
      </c>
      <c r="B84" t="inlineStr">
        <is>
          <t>Alba Cielos Rasos Antihongo 20L</t>
        </is>
      </c>
      <c r="C84" t="n">
        <v>728179972</v>
      </c>
      <c r="D84" t="n">
        <v>8959378934</v>
      </c>
      <c r="E84" t="n">
        <v>8231198962</v>
      </c>
      <c r="F84" t="n">
        <v>12.30379752053933</v>
      </c>
      <c r="G84" t="n">
        <v>0.918724280180111</v>
      </c>
    </row>
    <row r="85">
      <c r="A85" t="n">
        <v>20666</v>
      </c>
      <c r="B85" t="inlineStr">
        <is>
          <t>Alba Standard Cielorrasos 1L</t>
        </is>
      </c>
      <c r="C85" t="n">
        <v>443895075</v>
      </c>
      <c r="D85" t="n">
        <v>5461595123</v>
      </c>
      <c r="E85" t="n">
        <v>5017700048</v>
      </c>
      <c r="F85" t="n">
        <v>12.30379752016848</v>
      </c>
      <c r="G85" t="n">
        <v>0.9187242801776612</v>
      </c>
    </row>
    <row r="86">
      <c r="A86" t="n">
        <v>20667</v>
      </c>
      <c r="B86" t="inlineStr">
        <is>
          <t>Alba Standard Cielorrasos 4L</t>
        </is>
      </c>
      <c r="C86" t="n">
        <v>1442724465</v>
      </c>
      <c r="D86" t="n">
        <v>1775098969</v>
      </c>
      <c r="E86" t="n">
        <v>332374504</v>
      </c>
      <c r="F86" t="n">
        <v>1.230379751687374</v>
      </c>
      <c r="G86" t="n">
        <v>0.1872428015589704</v>
      </c>
    </row>
    <row r="87">
      <c r="A87" t="n">
        <v/>
      </c>
      <c r="B87" t="inlineStr">
        <is>
          <t>Alba Standard Cielorrasos 10L</t>
        </is>
      </c>
      <c r="C87" t="n">
        <v>310735282</v>
      </c>
      <c r="D87" t="n">
        <v>3823223992</v>
      </c>
      <c r="E87" t="n">
        <v>3512488710</v>
      </c>
      <c r="F87" t="n">
        <v>12.3037975198452</v>
      </c>
      <c r="G87" t="n">
        <v>0.9187242801755258</v>
      </c>
    </row>
    <row r="88">
      <c r="A88" t="n">
        <v>10527</v>
      </c>
      <c r="B88" t="inlineStr">
        <is>
          <t>Alba Standard Cielorrasos 20L</t>
        </is>
      </c>
      <c r="C88" t="n">
        <v>5548732085</v>
      </c>
      <c r="D88" t="n">
        <v>6827047607</v>
      </c>
      <c r="E88" t="n">
        <v>1278315522</v>
      </c>
      <c r="F88" t="n">
        <v>1.230379752061862</v>
      </c>
      <c r="G88" t="n">
        <v>0.1872428018063475</v>
      </c>
    </row>
    <row r="89">
      <c r="A89" t="n">
        <v/>
      </c>
      <c r="B89" t="n">
        <v/>
      </c>
      <c r="C89" t="n">
        <v/>
      </c>
      <c r="D89" t="n">
        <v/>
      </c>
      <c r="E89" t="n">
        <v/>
      </c>
      <c r="F89" t="n">
        <v/>
      </c>
      <c r="G89" t="n">
        <v/>
      </c>
    </row>
    <row r="90">
      <c r="A90" t="n">
        <v/>
      </c>
      <c r="B90" t="n">
        <v/>
      </c>
      <c r="C90" t="n">
        <v/>
      </c>
      <c r="D90" t="n">
        <v/>
      </c>
      <c r="E90" t="n">
        <v/>
      </c>
      <c r="F90" t="n">
        <v/>
      </c>
      <c r="G90" t="n">
        <v/>
      </c>
    </row>
    <row r="91">
      <c r="A91" t="n">
        <v/>
      </c>
      <c r="B91" t="n">
        <v/>
      </c>
      <c r="C91" t="n">
        <v/>
      </c>
      <c r="D91" t="n">
        <v/>
      </c>
      <c r="E91" t="n">
        <v/>
      </c>
      <c r="F91" t="n">
        <v/>
      </c>
      <c r="G91" t="n">
        <v/>
      </c>
    </row>
    <row r="92">
      <c r="A92" t="n">
        <v>10528</v>
      </c>
      <c r="B92" t="inlineStr">
        <is>
          <t>Tersuave Tersinol Cielorrasos 1L</t>
        </is>
      </c>
      <c r="C92" t="n">
        <v>33381608</v>
      </c>
      <c r="D92" t="n">
        <v>4449472579</v>
      </c>
      <c r="E92" t="n">
        <v>4416090971</v>
      </c>
      <c r="F92" t="n">
        <v>133.291139809682</v>
      </c>
      <c r="G92" t="n">
        <v>0.9924976258629956</v>
      </c>
    </row>
    <row r="93">
      <c r="A93" t="n">
        <v>10529</v>
      </c>
      <c r="B93" t="inlineStr">
        <is>
          <t>Tersuave Tersinol Cielorrasos 4L</t>
        </is>
      </c>
      <c r="C93" t="n">
        <v>112016944</v>
      </c>
      <c r="D93" t="n">
        <v>1493086614</v>
      </c>
      <c r="E93" t="n">
        <v>1381069670</v>
      </c>
      <c r="F93" t="n">
        <v>13.32911397761396</v>
      </c>
      <c r="G93" t="n">
        <v>0.9249762586110761</v>
      </c>
    </row>
    <row r="94">
      <c r="A94" t="n">
        <v>10530</v>
      </c>
      <c r="B94" t="inlineStr">
        <is>
          <t>Tersuave Tersinol Cielorrasos 10L</t>
        </is>
      </c>
      <c r="C94" t="n">
        <v>257834512</v>
      </c>
      <c r="D94" t="n">
        <v>3436705598</v>
      </c>
      <c r="E94" t="n">
        <v>3178871086</v>
      </c>
      <c r="F94" t="n">
        <v>13.32911397834903</v>
      </c>
      <c r="G94" t="n">
        <v>0.9249762586152135</v>
      </c>
    </row>
    <row r="95">
      <c r="A95" t="n">
        <v>10155</v>
      </c>
      <c r="B95" t="inlineStr">
        <is>
          <t>Tersuave Tersinol Cielorrasos 20L</t>
        </is>
      </c>
      <c r="C95" t="n">
        <v>4824358175</v>
      </c>
      <c r="D95" t="n">
        <v>6430441999</v>
      </c>
      <c r="E95" t="n">
        <v>1606083824</v>
      </c>
      <c r="F95" t="n">
        <v>1.332911397898022</v>
      </c>
      <c r="G95" t="n">
        <v>0.2497625861876621</v>
      </c>
    </row>
    <row r="96">
      <c r="A96" t="n">
        <v>5371</v>
      </c>
      <c r="B96" t="inlineStr">
        <is>
          <t>IMPERMEABILIZANTES DE FRENTES</t>
        </is>
      </c>
      <c r="C96" t="n">
        <v/>
      </c>
      <c r="D96" t="n">
        <v/>
      </c>
      <c r="E96" t="n">
        <v/>
      </c>
      <c r="F96" t="n">
        <v/>
      </c>
      <c r="G96" t="n">
        <v/>
      </c>
    </row>
    <row r="97">
      <c r="A97" t="n">
        <v>5372</v>
      </c>
      <c r="B97" t="inlineStr">
        <is>
          <t>Duralba Frentes y Muros Blanco 1L</t>
        </is>
      </c>
      <c r="C97" t="n">
        <v>822406195</v>
      </c>
      <c r="D97" t="n">
        <v>101187193</v>
      </c>
      <c r="E97" t="n">
        <v>-721219002</v>
      </c>
      <c r="F97" t="n">
        <v>0.123037975169922</v>
      </c>
      <c r="G97" t="n">
        <v>-7.127571984332048</v>
      </c>
    </row>
    <row r="98">
      <c r="A98" t="n">
        <v>5373</v>
      </c>
      <c r="B98" t="inlineStr">
        <is>
          <t>Duralba Frentes y Muros Blanco 4L</t>
        </is>
      </c>
      <c r="C98" t="n">
        <v>2672885605</v>
      </c>
      <c r="D98" t="n">
        <v>3288664328</v>
      </c>
      <c r="E98" t="n">
        <v>615778723</v>
      </c>
      <c r="F98" t="n">
        <v>1.230379752073228</v>
      </c>
      <c r="G98" t="n">
        <v>0.1872428018138554</v>
      </c>
    </row>
    <row r="99">
      <c r="A99" t="n">
        <v>5374</v>
      </c>
      <c r="B99" t="inlineStr">
        <is>
          <t>Duralba Frentes y Muros Blanco 10L</t>
        </is>
      </c>
      <c r="C99" t="n">
        <v>575693066</v>
      </c>
      <c r="D99" t="n">
        <v>7083210918</v>
      </c>
      <c r="E99" t="n">
        <v>6507517852</v>
      </c>
      <c r="F99" t="n">
        <v>12.30379752046553</v>
      </c>
      <c r="G99" t="n">
        <v>0.9187242801796235</v>
      </c>
    </row>
    <row r="100">
      <c r="A100" t="n">
        <v/>
      </c>
      <c r="B100" t="inlineStr">
        <is>
          <t>Duralba Frentes y Muros Blanco 20L</t>
        </is>
      </c>
      <c r="C100" t="n">
        <v>95186468</v>
      </c>
      <c r="D100" t="n">
        <v>1171155029</v>
      </c>
      <c r="E100" t="n">
        <v>1075968561</v>
      </c>
      <c r="F100" t="n">
        <v>12.30379752088291</v>
      </c>
      <c r="G100" t="n">
        <v>0.9187242801823805</v>
      </c>
    </row>
    <row r="101">
      <c r="A101" t="n">
        <v>4625</v>
      </c>
      <c r="B101" t="inlineStr">
        <is>
          <t>Albafrent Frentes y Muros Blanco 4L</t>
        </is>
      </c>
      <c r="C101" t="n">
        <v>2138291025</v>
      </c>
      <c r="D101" t="n">
        <v>2630909981</v>
      </c>
      <c r="E101" t="n">
        <v>492618956</v>
      </c>
      <c r="F101" t="n">
        <v>1.230379751979738</v>
      </c>
      <c r="G101" t="n">
        <v>0.1872428017520984</v>
      </c>
    </row>
    <row r="102">
      <c r="A102" t="n">
        <v>4626</v>
      </c>
      <c r="B102" t="inlineStr">
        <is>
          <t>Albafrent Frentes y Muros Blanco 10L</t>
        </is>
      </c>
      <c r="C102" t="n">
        <v>4605596905</v>
      </c>
      <c r="D102" t="n">
        <v>5666633178</v>
      </c>
      <c r="E102" t="n">
        <v>1061036273</v>
      </c>
      <c r="F102" t="n">
        <v>1.230379752046494</v>
      </c>
      <c r="G102" t="n">
        <v>0.1872428017961956</v>
      </c>
    </row>
    <row r="103">
      <c r="A103" t="n">
        <v>5304</v>
      </c>
      <c r="B103" t="inlineStr">
        <is>
          <t>Albafrent Frentes y Muros Blanco 20L</t>
        </is>
      </c>
      <c r="C103" t="n">
        <v>8224149245</v>
      </c>
      <c r="D103" t="n">
        <v>1011882671</v>
      </c>
      <c r="E103" t="n">
        <v>-7212266574</v>
      </c>
      <c r="F103" t="n">
        <v>0.123037975218554</v>
      </c>
      <c r="G103" t="n">
        <v>-7.127571981119538</v>
      </c>
    </row>
    <row r="104">
      <c r="A104" t="n">
        <v>5303</v>
      </c>
      <c r="B104" t="inlineStr">
        <is>
          <t>Emapi Look Frentes Blanco 1L</t>
        </is>
      </c>
      <c r="C104" t="n">
        <v>432895905</v>
      </c>
      <c r="D104" t="n">
        <v>5548191211</v>
      </c>
      <c r="E104" t="n">
        <v>5115295306</v>
      </c>
      <c r="F104" t="n">
        <v>12.8164557504881</v>
      </c>
      <c r="G104" t="n">
        <v>0.9219753089724578</v>
      </c>
    </row>
    <row r="105">
      <c r="A105" t="n">
        <v>20618</v>
      </c>
      <c r="B105" t="inlineStr">
        <is>
          <t>Emapi Look Frentes Blanco 4L</t>
        </is>
      </c>
      <c r="C105" t="n">
        <v>1357699135</v>
      </c>
      <c r="D105" t="n">
        <v>1740089089</v>
      </c>
      <c r="E105" t="n">
        <v>382389954</v>
      </c>
      <c r="F105" t="n">
        <v>1.28164557532844</v>
      </c>
      <c r="G105" t="n">
        <v>0.2197530898948128</v>
      </c>
    </row>
    <row r="106">
      <c r="A106" t="n">
        <v>20617</v>
      </c>
      <c r="B106" t="inlineStr">
        <is>
          <t>Emapi Look Frentes Blanco 10L</t>
        </is>
      </c>
      <c r="C106" t="n">
        <v>336836487</v>
      </c>
      <c r="D106" t="n">
        <v>4144367933</v>
      </c>
      <c r="E106" t="n">
        <v>3807531446</v>
      </c>
      <c r="F106" t="n">
        <v>12.30379751882402</v>
      </c>
      <c r="G106" t="n">
        <v>0.91872428016878</v>
      </c>
    </row>
    <row r="107">
      <c r="A107" t="n">
        <v>20764</v>
      </c>
      <c r="B107" t="inlineStr">
        <is>
          <t>Emapi Look Frentes Blanco 20L</t>
        </is>
      </c>
      <c r="C107" t="n">
        <v>646628983</v>
      </c>
      <c r="D107" t="n">
        <v>7759547796</v>
      </c>
      <c r="E107" t="n">
        <v>7112918813</v>
      </c>
      <c r="F107" t="n">
        <v>12</v>
      </c>
      <c r="G107" t="n">
        <v>0.9166666666666666</v>
      </c>
    </row>
    <row r="108">
      <c r="A108" t="n">
        <v>20780</v>
      </c>
      <c r="B108" t="inlineStr">
        <is>
          <t>MEMBRANAS LIQUIDAS</t>
        </is>
      </c>
      <c r="C108" t="n">
        <v/>
      </c>
      <c r="D108" t="n">
        <v/>
      </c>
      <c r="E108" t="n">
        <v/>
      </c>
      <c r="F108" t="n">
        <v/>
      </c>
      <c r="G108" t="n">
        <v/>
      </c>
    </row>
    <row r="109">
      <c r="A109" t="n">
        <v>20765</v>
      </c>
      <c r="B109" t="inlineStr">
        <is>
          <t>Membrana Poliuretanica Supercapa 5Kg</t>
        </is>
      </c>
      <c r="C109" t="n">
        <v>360964825</v>
      </c>
      <c r="D109" t="n">
        <v>4182165895</v>
      </c>
      <c r="E109" t="n">
        <v>3821201070</v>
      </c>
      <c r="F109" t="n">
        <v>11.58607599784827</v>
      </c>
      <c r="G109" t="n">
        <v>0.9136895010713103</v>
      </c>
    </row>
    <row r="110">
      <c r="A110" t="n">
        <v>72117</v>
      </c>
      <c r="B110" t="inlineStr">
        <is>
          <t>Membrana Poliuretanica Supercapa 20Kg</t>
        </is>
      </c>
      <c r="C110" t="n">
        <v>1321314579</v>
      </c>
      <c r="D110" t="n">
        <v>1530885113</v>
      </c>
      <c r="E110" t="n">
        <v>209570534</v>
      </c>
      <c r="F110" t="n">
        <v>1.158607599833347</v>
      </c>
      <c r="G110" t="n">
        <v>0.1368950107492488</v>
      </c>
    </row>
    <row r="111">
      <c r="A111" t="n">
        <v>72128</v>
      </c>
      <c r="B111" t="inlineStr">
        <is>
          <t>Emapi Emacril Poliuretanica (Blanco-Rojo-Verde) 4Kg</t>
        </is>
      </c>
      <c r="C111" t="n">
        <v>197932683</v>
      </c>
      <c r="D111" t="n">
        <v>2496206746</v>
      </c>
      <c r="E111" t="n">
        <v>2298274063</v>
      </c>
      <c r="F111" t="n">
        <v>12.61139246013252</v>
      </c>
      <c r="G111" t="n">
        <v>0.9207066148197967</v>
      </c>
    </row>
    <row r="112">
      <c r="A112" t="n">
        <v>72119</v>
      </c>
      <c r="B112" t="inlineStr">
        <is>
          <t>Emapi Emacril Poliuretanica (Blanco-Rojo-Verde) 20Kg</t>
        </is>
      </c>
      <c r="C112" t="n">
        <v>9428994835</v>
      </c>
      <c r="D112" t="n">
        <v>1169792136</v>
      </c>
      <c r="E112" t="n">
        <v>-8259202699</v>
      </c>
      <c r="F112" t="n">
        <v>0.1240632916308093</v>
      </c>
      <c r="G112" t="n">
        <v>-7.060401967858673</v>
      </c>
    </row>
    <row r="113">
      <c r="A113" t="n">
        <v>72129</v>
      </c>
      <c r="B113" t="inlineStr">
        <is>
          <t>Tersuave Tersitech Poliuretanica (Rojo-Blanco) 4Kg</t>
        </is>
      </c>
      <c r="C113" t="n">
        <v>1927735485</v>
      </c>
      <c r="D113" t="n">
        <v>2411377486</v>
      </c>
      <c r="E113" t="n">
        <v>483642001</v>
      </c>
      <c r="F113" t="n">
        <v>1.250886080981178</v>
      </c>
      <c r="G113" t="n">
        <v>0.2005666901212828</v>
      </c>
    </row>
    <row r="114">
      <c r="A114" t="n">
        <v>5300</v>
      </c>
      <c r="B114" t="inlineStr">
        <is>
          <t>Tersuave Tersitech Poliuretanica (Rojo-Blanco) 20Kg</t>
        </is>
      </c>
      <c r="C114" t="n">
        <v>866577465</v>
      </c>
      <c r="D114" t="n">
        <v>1083989689</v>
      </c>
      <c r="E114" t="n">
        <v>217412224</v>
      </c>
      <c r="F114" t="n">
        <v>1.250886080911416</v>
      </c>
      <c r="G114" t="n">
        <v>0.2005666900766987</v>
      </c>
    </row>
    <row r="115">
      <c r="A115" t="n">
        <v>5302</v>
      </c>
      <c r="B115" t="inlineStr">
        <is>
          <t>Tersuave Decotechos Membrana Líquida 4L</t>
        </is>
      </c>
      <c r="C115" t="n">
        <v>944619195</v>
      </c>
      <c r="D115" t="n">
        <v>1259093692</v>
      </c>
      <c r="E115" t="n">
        <v>314474497</v>
      </c>
      <c r="F115" t="n">
        <v>1.332911398227515</v>
      </c>
      <c r="G115" t="n">
        <v>0.2497625863731196</v>
      </c>
    </row>
    <row r="116">
      <c r="A116" t="n">
        <v>5301</v>
      </c>
      <c r="B116" t="inlineStr">
        <is>
          <t>Tersuave Decotechos Membrana Líquida 10L</t>
        </is>
      </c>
      <c r="C116" t="n">
        <v>2178097545</v>
      </c>
      <c r="D116" t="n">
        <v>2903211044</v>
      </c>
      <c r="E116" t="n">
        <v>725113499</v>
      </c>
      <c r="F116" t="n">
        <v>1.332911398144017</v>
      </c>
      <c r="G116" t="n">
        <v>0.2497625863261217</v>
      </c>
    </row>
    <row r="117">
      <c r="A117" t="n">
        <v/>
      </c>
      <c r="B117" t="inlineStr">
        <is>
          <t>Tersuave Decotechos Membrana Líquida 20L</t>
        </is>
      </c>
      <c r="C117" t="n">
        <v>4192167785</v>
      </c>
      <c r="D117" t="n">
        <v>5587788223</v>
      </c>
      <c r="E117" t="n">
        <v>1395620438</v>
      </c>
      <c r="F117" t="n">
        <v>1.332911398010755</v>
      </c>
      <c r="G117" t="n">
        <v>0.2497625862511146</v>
      </c>
    </row>
    <row r="118">
      <c r="A118" t="n">
        <v>10073</v>
      </c>
      <c r="B118" t="inlineStr">
        <is>
          <t>Alaska Membrana Liquida (Blanca-Roja) 5Kg</t>
        </is>
      </c>
      <c r="C118" t="n">
        <v>110585306</v>
      </c>
      <c r="D118" t="n">
        <v>1474004148</v>
      </c>
      <c r="E118" t="n">
        <v>1363418842</v>
      </c>
      <c r="F118" t="n">
        <v>13.32911397830739</v>
      </c>
      <c r="G118" t="n">
        <v>0.9249762586149791</v>
      </c>
    </row>
    <row r="119">
      <c r="A119" t="n">
        <v>10074</v>
      </c>
      <c r="B119" t="inlineStr">
        <is>
          <t>Alaska Membrana Liquida (Blanca-Roja) 20Kg</t>
        </is>
      </c>
      <c r="C119" t="n">
        <v>3837051725</v>
      </c>
      <c r="D119" t="n">
        <v>5114449979</v>
      </c>
      <c r="E119" t="n">
        <v>1277398254</v>
      </c>
      <c r="F119" t="n">
        <v>1.332911398008324</v>
      </c>
      <c r="G119" t="n">
        <v>0.2497625862497462</v>
      </c>
    </row>
    <row r="120">
      <c r="A120" t="n">
        <v>10075</v>
      </c>
      <c r="B120" t="inlineStr">
        <is>
          <t>Alaska Membrana Liquida Fibrada (Blanca-Roja) 5Kg</t>
        </is>
      </c>
      <c r="C120" t="n">
        <v>1189045195</v>
      </c>
      <c r="D120" t="n">
        <v>1584891893</v>
      </c>
      <c r="E120" t="n">
        <v>395846698</v>
      </c>
      <c r="F120" t="n">
        <v>1.332911397871634</v>
      </c>
      <c r="G120" t="n">
        <v>0.2497625861728097</v>
      </c>
    </row>
    <row r="121">
      <c r="A121" t="n">
        <v>10076</v>
      </c>
      <c r="B121" t="inlineStr">
        <is>
          <t>Alaska Membrana Liquida Fibrada (Blanca-Roja) 20Kg</t>
        </is>
      </c>
      <c r="C121" t="n">
        <v>4144155535</v>
      </c>
      <c r="D121" t="n">
        <v>5523792148</v>
      </c>
      <c r="E121" t="n">
        <v>1379636613</v>
      </c>
      <c r="F121" t="n">
        <v>1.3329113980757</v>
      </c>
      <c r="G121" t="n">
        <v>0.2497625862876693</v>
      </c>
    </row>
    <row r="122">
      <c r="A122" t="n">
        <v>10069</v>
      </c>
      <c r="B122" t="inlineStr">
        <is>
          <t>Emapi Asfaltica Maca P 1L</t>
        </is>
      </c>
      <c r="C122" t="n">
        <v>43891926</v>
      </c>
      <c r="D122" t="n">
        <v>5850404845</v>
      </c>
      <c r="E122" t="n">
        <v>5806512919</v>
      </c>
      <c r="F122" t="n">
        <v>133.2911398100872</v>
      </c>
      <c r="G122" t="n">
        <v>0.9924976258630184</v>
      </c>
    </row>
    <row r="123">
      <c r="A123" t="n">
        <v>10070</v>
      </c>
      <c r="B123" t="inlineStr">
        <is>
          <t>Emapi Asfaltica Maca P 4L</t>
        </is>
      </c>
      <c r="C123" t="n">
        <v>1283847565</v>
      </c>
      <c r="D123" t="n">
        <v>1711255053</v>
      </c>
      <c r="E123" t="n">
        <v>427407488</v>
      </c>
      <c r="F123" t="n">
        <v>1.332911398246878</v>
      </c>
      <c r="G123" t="n">
        <v>0.2497625863840181</v>
      </c>
    </row>
    <row r="124">
      <c r="A124" t="n">
        <v>10071</v>
      </c>
      <c r="B124" t="inlineStr">
        <is>
          <t>Emapi Asfaltica Maca P 18L</t>
        </is>
      </c>
      <c r="C124" t="n">
        <v>488869459</v>
      </c>
      <c r="D124" t="n">
        <v>651619674</v>
      </c>
      <c r="E124" t="n">
        <v>162750215</v>
      </c>
      <c r="F124" t="n">
        <v>1.33291139792801</v>
      </c>
      <c r="G124" t="n">
        <v>0.2497625862045411</v>
      </c>
    </row>
    <row r="125">
      <c r="A125" t="n">
        <v>10072</v>
      </c>
      <c r="B125" t="inlineStr">
        <is>
          <t>ENDUIDO</t>
        </is>
      </c>
      <c r="C125" t="n">
        <v/>
      </c>
      <c r="D125" t="n">
        <v/>
      </c>
      <c r="E125" t="n">
        <v/>
      </c>
      <c r="F125" t="n">
        <v/>
      </c>
      <c r="G125" t="n">
        <v/>
      </c>
    </row>
    <row r="126">
      <c r="A126" t="n">
        <v>20781</v>
      </c>
      <c r="B126" t="inlineStr">
        <is>
          <t>Alba Standard Enduido Interior 1L</t>
        </is>
      </c>
      <c r="C126" t="n">
        <v>266337045</v>
      </c>
      <c r="D126" t="n">
        <v>3276957074</v>
      </c>
      <c r="E126" t="n">
        <v>3010620029</v>
      </c>
      <c r="F126" t="n">
        <v>12.3037975209194</v>
      </c>
      <c r="G126" t="n">
        <v>0.9187242801826216</v>
      </c>
    </row>
    <row r="127">
      <c r="A127" t="n">
        <v>20775</v>
      </c>
      <c r="B127" t="inlineStr">
        <is>
          <t>Alba Standard Enduido Interior 4L</t>
        </is>
      </c>
      <c r="C127" t="n">
        <v>76924354</v>
      </c>
      <c r="D127" t="n">
        <v>946461676</v>
      </c>
      <c r="E127" t="n">
        <v>869537322</v>
      </c>
      <c r="F127" t="n">
        <v>12.30379752035357</v>
      </c>
      <c r="G127" t="n">
        <v>0.9187242801788839</v>
      </c>
    </row>
    <row r="128">
      <c r="A128" t="n">
        <v>20776</v>
      </c>
      <c r="B128" t="inlineStr">
        <is>
          <t>Alba Standard Enduido Interior 10L</t>
        </is>
      </c>
      <c r="C128" t="n">
        <v>16271788</v>
      </c>
      <c r="D128" t="n">
        <v>2002047848</v>
      </c>
      <c r="E128" t="n">
        <v>1985776060</v>
      </c>
      <c r="F128" t="n">
        <v>123.0379751751928</v>
      </c>
      <c r="G128" t="n">
        <v>0.9918724280160162</v>
      </c>
    </row>
    <row r="129">
      <c r="A129" t="n">
        <v>6834</v>
      </c>
      <c r="B129" t="inlineStr">
        <is>
          <t>Alba Standard Enduido Interior 20L</t>
        </is>
      </c>
      <c r="C129" t="n">
        <v>295842755</v>
      </c>
      <c r="D129" t="n">
        <v>3639989355</v>
      </c>
      <c r="E129" t="n">
        <v>3344146600</v>
      </c>
      <c r="F129" t="n">
        <v>12.30379751905704</v>
      </c>
      <c r="G129" t="n">
        <v>0.9187242801703194</v>
      </c>
    </row>
    <row r="130">
      <c r="A130" t="n">
        <v>6835</v>
      </c>
      <c r="B130" t="inlineStr">
        <is>
          <t>Alba Standard Enduido Exterior/Interior 1,5Kg</t>
        </is>
      </c>
      <c r="C130" t="n">
        <v>322380435</v>
      </c>
      <c r="D130" t="n">
        <v>3966503597</v>
      </c>
      <c r="E130" t="n">
        <v>3644123162</v>
      </c>
      <c r="F130" t="n">
        <v>12.30379752108716</v>
      </c>
      <c r="G130" t="n">
        <v>0.9187242801837298</v>
      </c>
    </row>
    <row r="131">
      <c r="A131" t="n">
        <v/>
      </c>
      <c r="B131" t="inlineStr">
        <is>
          <t>Alba Standard Enduido Exterior/Interior 6Kg</t>
        </is>
      </c>
      <c r="C131" t="n">
        <v>931175765</v>
      </c>
      <c r="D131" t="n">
        <v>1145699807</v>
      </c>
      <c r="E131" t="n">
        <v>214524042</v>
      </c>
      <c r="F131" t="n">
        <v>1.230379752204999</v>
      </c>
      <c r="G131" t="n">
        <v>0.1872428019008997</v>
      </c>
    </row>
    <row r="132">
      <c r="A132" t="n">
        <v>72110</v>
      </c>
      <c r="B132" t="inlineStr">
        <is>
          <t>Alba Standard Enduido Exterior/Interior 16Kg</t>
        </is>
      </c>
      <c r="C132" t="n">
        <v>196972438</v>
      </c>
      <c r="D132" t="n">
        <v>2423508994</v>
      </c>
      <c r="E132" t="n">
        <v>2226536556</v>
      </c>
      <c r="F132" t="n">
        <v>12.30379751912295</v>
      </c>
      <c r="G132" t="n">
        <v>0.9187242801707548</v>
      </c>
    </row>
    <row r="133">
      <c r="A133" t="n">
        <v>72111</v>
      </c>
      <c r="B133" t="inlineStr">
        <is>
          <t>Alba Standard Enduido Exterior/Interior 30Kg</t>
        </is>
      </c>
      <c r="C133" t="n">
        <v>3581277375</v>
      </c>
      <c r="D133" t="n">
        <v>4406331168</v>
      </c>
      <c r="E133" t="n">
        <v>825053793</v>
      </c>
      <c r="F133" t="n">
        <v>1.230379751861583</v>
      </c>
      <c r="G133" t="n">
        <v>0.1872428016740479</v>
      </c>
    </row>
    <row r="134">
      <c r="A134" t="n">
        <v>72112</v>
      </c>
      <c r="B134" t="n">
        <v/>
      </c>
      <c r="C134" t="n">
        <v/>
      </c>
      <c r="D134" t="n">
        <v/>
      </c>
      <c r="E134" t="n">
        <v/>
      </c>
      <c r="F134" t="n">
        <v/>
      </c>
      <c r="G134" t="n">
        <v/>
      </c>
    </row>
    <row r="135">
      <c r="A135" t="n">
        <v>676</v>
      </c>
      <c r="B135" t="n">
        <v/>
      </c>
      <c r="C135" t="n">
        <v/>
      </c>
      <c r="D135" t="n">
        <v/>
      </c>
      <c r="E135" t="n">
        <v/>
      </c>
      <c r="F135" t="n">
        <v/>
      </c>
      <c r="G135" t="n">
        <v/>
      </c>
    </row>
    <row r="136">
      <c r="A136" t="n">
        <v>679</v>
      </c>
      <c r="B136" t="n">
        <v/>
      </c>
      <c r="C136" t="n">
        <v/>
      </c>
      <c r="D136" t="n">
        <v/>
      </c>
      <c r="E136" t="n">
        <v/>
      </c>
      <c r="F136" t="n">
        <v/>
      </c>
      <c r="G136" t="n">
        <v/>
      </c>
    </row>
    <row r="137">
      <c r="A137" t="n">
        <v>677</v>
      </c>
      <c r="B137" t="inlineStr">
        <is>
          <t>Tersuave Decolatex Enduido Interior 1L</t>
        </is>
      </c>
      <c r="C137" t="n">
        <v>221642005</v>
      </c>
      <c r="D137" t="n">
        <v>2954291547</v>
      </c>
      <c r="E137" t="n">
        <v>2732649542</v>
      </c>
      <c r="F137" t="n">
        <v>13.32911397819199</v>
      </c>
      <c r="G137" t="n">
        <v>0.9249762586143296</v>
      </c>
    </row>
    <row r="138">
      <c r="A138" t="n">
        <v>678</v>
      </c>
      <c r="B138" t="inlineStr">
        <is>
          <t>Tersuave Decolatex Enduido Interior 4L</t>
        </is>
      </c>
      <c r="C138" t="n">
        <v>666148145</v>
      </c>
      <c r="D138" t="n">
        <v>8879164552</v>
      </c>
      <c r="E138" t="n">
        <v>8213016407</v>
      </c>
      <c r="F138" t="n">
        <v>13.32911397959383</v>
      </c>
      <c r="G138" t="n">
        <v>0.92497625862222</v>
      </c>
    </row>
    <row r="139">
      <c r="A139" t="n">
        <v/>
      </c>
      <c r="B139" t="inlineStr">
        <is>
          <t>Tersuave Decolatex Enduido Interior 20L</t>
        </is>
      </c>
      <c r="C139" t="n">
        <v>257136152</v>
      </c>
      <c r="D139" t="n">
        <v>3427397078</v>
      </c>
      <c r="E139" t="n">
        <v>3170260926</v>
      </c>
      <c r="F139" t="n">
        <v>13.3291139784965</v>
      </c>
      <c r="G139" t="n">
        <v>0.9249762586160436</v>
      </c>
    </row>
    <row r="140">
      <c r="A140" t="n">
        <v>20685</v>
      </c>
      <c r="B140" t="inlineStr">
        <is>
          <t>Econove Enduido Interior 4L</t>
        </is>
      </c>
      <c r="C140" t="n">
        <v>518619595</v>
      </c>
      <c r="D140" t="n">
        <v>7178614298</v>
      </c>
      <c r="E140" t="n">
        <v>6659994703</v>
      </c>
      <c r="F140" t="n">
        <v>13.8417722107087</v>
      </c>
      <c r="G140" t="n">
        <v>0.9277549157161863</v>
      </c>
    </row>
    <row r="141">
      <c r="A141" t="n">
        <v>20686</v>
      </c>
      <c r="B141" t="inlineStr">
        <is>
          <t>Econove Enduido Interior 25Kg 14L</t>
        </is>
      </c>
      <c r="C141" t="n">
        <v>1683658665</v>
      </c>
      <c r="D141" t="n">
        <v>2330481972</v>
      </c>
      <c r="E141" t="n">
        <v>646823307</v>
      </c>
      <c r="F141" t="n">
        <v>1.384177220980833</v>
      </c>
      <c r="G141" t="n">
        <v>0.27754915711487</v>
      </c>
    </row>
    <row r="142">
      <c r="A142" t="n">
        <v>20687</v>
      </c>
      <c r="B142" t="inlineStr">
        <is>
          <t>FIJADORES</t>
        </is>
      </c>
      <c r="C142" t="n">
        <v/>
      </c>
      <c r="D142" t="n">
        <v/>
      </c>
      <c r="E142" t="n">
        <v/>
      </c>
      <c r="F142" t="n">
        <v/>
      </c>
      <c r="G142" t="n">
        <v/>
      </c>
    </row>
    <row r="143">
      <c r="A143" t="n">
        <v>20678</v>
      </c>
      <c r="B143" t="inlineStr">
        <is>
          <t>Sellador Fijador Alaska 1L</t>
        </is>
      </c>
      <c r="C143" t="n">
        <v>209769885</v>
      </c>
      <c r="D143" t="n">
        <v>2796046707</v>
      </c>
      <c r="E143" t="n">
        <v>2586276822</v>
      </c>
      <c r="F143" t="n">
        <v>13.32911398125617</v>
      </c>
      <c r="G143" t="n">
        <v>0.9249762586315766</v>
      </c>
    </row>
    <row r="144">
      <c r="A144" t="n">
        <v>20679</v>
      </c>
      <c r="B144" t="inlineStr">
        <is>
          <t>Sellador Fijador Alaska 4L</t>
        </is>
      </c>
      <c r="C144" t="n">
        <v>61996909</v>
      </c>
      <c r="D144" t="n">
        <v>8263638665</v>
      </c>
      <c r="E144" t="n">
        <v>8201641756</v>
      </c>
      <c r="F144" t="n">
        <v>133.2911398050506</v>
      </c>
      <c r="G144" t="n">
        <v>0.9924976258627349</v>
      </c>
    </row>
    <row r="145">
      <c r="A145" t="n">
        <v>20680</v>
      </c>
      <c r="B145" t="inlineStr">
        <is>
          <t>Sellador Fijador Alaska 20L</t>
        </is>
      </c>
      <c r="C145" t="n">
        <v>2343085095</v>
      </c>
      <c r="D145" t="n">
        <v>312312483</v>
      </c>
      <c r="E145" t="n">
        <v>-2030772612</v>
      </c>
      <c r="F145" t="n">
        <v>0.1332911398166698</v>
      </c>
      <c r="G145" t="n">
        <v>-6.502374136611119</v>
      </c>
    </row>
    <row r="146">
      <c r="A146" t="n">
        <v>993</v>
      </c>
      <c r="B146" t="inlineStr">
        <is>
          <t>Sellador Fijador Andina 1L</t>
        </is>
      </c>
      <c r="C146" t="n">
        <v>26659893</v>
      </c>
      <c r="D146" t="n">
        <v>3553527525</v>
      </c>
      <c r="E146" t="n">
        <v>3526867632</v>
      </c>
      <c r="F146" t="n">
        <v>133.2911398031492</v>
      </c>
      <c r="G146" t="n">
        <v>0.9924976258626279</v>
      </c>
    </row>
    <row r="147">
      <c r="A147" t="n">
        <v>994</v>
      </c>
      <c r="B147" t="inlineStr">
        <is>
          <t>Sellador Fijador Andina 4L</t>
        </is>
      </c>
      <c r="C147" t="n">
        <v>777536565</v>
      </c>
      <c r="D147" t="n">
        <v>103638735</v>
      </c>
      <c r="E147" t="n">
        <v>-673897830</v>
      </c>
      <c r="F147" t="n">
        <v>0.1332911398192572</v>
      </c>
      <c r="G147" t="n">
        <v>-6.502374136465483</v>
      </c>
    </row>
    <row r="148">
      <c r="A148" t="n">
        <v>989</v>
      </c>
      <c r="B148" t="inlineStr">
        <is>
          <t>Sellador Fijador Andina 10L</t>
        </is>
      </c>
      <c r="C148" t="n">
        <v>1805173305</v>
      </c>
      <c r="D148" t="n">
        <v>2406136074</v>
      </c>
      <c r="E148" t="n">
        <v>600962769</v>
      </c>
      <c r="F148" t="n">
        <v>1.332911398221679</v>
      </c>
      <c r="G148" t="n">
        <v>0.2497625863698347</v>
      </c>
    </row>
    <row r="149">
      <c r="A149" t="n">
        <v>990</v>
      </c>
      <c r="B149" t="inlineStr">
        <is>
          <t>Sellador Fijador Andina 20L</t>
        </is>
      </c>
      <c r="C149" t="n">
        <v>3331089905</v>
      </c>
      <c r="D149" t="n">
        <v>4440047702</v>
      </c>
      <c r="E149" t="n">
        <v>1108957797</v>
      </c>
      <c r="F149" t="n">
        <v>1.332911397958801</v>
      </c>
      <c r="G149" t="n">
        <v>0.2497625862218721</v>
      </c>
    </row>
    <row r="150">
      <c r="A150" t="n">
        <v/>
      </c>
      <c r="B150" t="inlineStr">
        <is>
          <t>DILUYENTES</t>
        </is>
      </c>
      <c r="C150" t="n">
        <v/>
      </c>
      <c r="D150" t="n">
        <v/>
      </c>
      <c r="E150" t="n">
        <v/>
      </c>
      <c r="F150" t="n">
        <v/>
      </c>
      <c r="G150" t="n">
        <v/>
      </c>
    </row>
    <row r="151">
      <c r="A151" t="n">
        <v>2421</v>
      </c>
      <c r="B151" t="inlineStr">
        <is>
          <t>Tersuave Diluyente Tersirras 1L</t>
        </is>
      </c>
      <c r="C151" t="n">
        <v>360266465</v>
      </c>
      <c r="D151" t="n">
        <v>4802032775</v>
      </c>
      <c r="E151" t="n">
        <v>4441766310</v>
      </c>
      <c r="F151" t="n">
        <v>13.3291139795651</v>
      </c>
      <c r="G151" t="n">
        <v>0.9249762586220582</v>
      </c>
    </row>
    <row r="152">
      <c r="A152" t="n">
        <v/>
      </c>
      <c r="B152" t="inlineStr">
        <is>
          <t>Tersuave Diluyente Tersirras 4L</t>
        </is>
      </c>
      <c r="C152" t="n">
        <v>128568076</v>
      </c>
      <c r="D152" t="n">
        <v>1713698539</v>
      </c>
      <c r="E152" t="n">
        <v>1585130463</v>
      </c>
      <c r="F152" t="n">
        <v>13.3291139784965</v>
      </c>
      <c r="G152" t="n">
        <v>0.9249762586160436</v>
      </c>
    </row>
    <row r="153">
      <c r="A153" t="n">
        <v>1070</v>
      </c>
      <c r="B153" t="inlineStr">
        <is>
          <t>Tersuave Diluyente Tersirras 18L</t>
        </is>
      </c>
      <c r="C153" t="n">
        <v>519492545</v>
      </c>
      <c r="D153" t="n">
        <v>6924375344</v>
      </c>
      <c r="E153" t="n">
        <v>6404882799</v>
      </c>
      <c r="F153" t="n">
        <v>13.32911397987434</v>
      </c>
      <c r="G153" t="n">
        <v>0.9249762586237988</v>
      </c>
    </row>
    <row r="154">
      <c r="A154" t="n">
        <v>1071</v>
      </c>
      <c r="B154" t="inlineStr">
        <is>
          <t>Tersuave Thinner Standard 1L</t>
        </is>
      </c>
      <c r="C154" t="n">
        <v>398676265</v>
      </c>
      <c r="D154" t="n">
        <v>5314001377</v>
      </c>
      <c r="E154" t="n">
        <v>4915325112</v>
      </c>
      <c r="F154" t="n">
        <v>13.32911397923325</v>
      </c>
      <c r="G154" t="n">
        <v>0.9249762586201904</v>
      </c>
    </row>
    <row r="155">
      <c r="A155" t="n">
        <v>1072</v>
      </c>
      <c r="B155" t="inlineStr">
        <is>
          <t>Tersuave Thinner Standard 4L</t>
        </is>
      </c>
      <c r="C155" t="n">
        <v>1372713875</v>
      </c>
      <c r="D155" t="n">
        <v>182970597</v>
      </c>
      <c r="E155" t="n">
        <v>-1189743278</v>
      </c>
      <c r="F155" t="n">
        <v>0.1332911397868693</v>
      </c>
      <c r="G155" t="n">
        <v>-6.502374138288459</v>
      </c>
    </row>
    <row r="156">
      <c r="A156" t="n">
        <v>1073</v>
      </c>
      <c r="B156" t="inlineStr">
        <is>
          <t>Tersuave Thinner Standard 18L</t>
        </is>
      </c>
      <c r="C156" t="n">
        <v>5657152475</v>
      </c>
      <c r="D156" t="n">
        <v>7540483014</v>
      </c>
      <c r="E156" t="n">
        <v>1883330539</v>
      </c>
      <c r="F156" t="n">
        <v>1.332911397973236</v>
      </c>
      <c r="G156" t="n">
        <v>0.2497625862299966</v>
      </c>
    </row>
    <row r="157">
      <c r="A157" t="e">
        <v>#REF!</v>
      </c>
      <c r="B157" t="inlineStr">
        <is>
          <t>Aguarras Alfa 1L</t>
        </is>
      </c>
      <c r="C157" t="n">
        <v>2129998</v>
      </c>
      <c r="D157" t="n">
        <v>2839098612</v>
      </c>
      <c r="E157" t="n">
        <v>2836968614</v>
      </c>
      <c r="F157" t="n">
        <v>1332.911398038871</v>
      </c>
      <c r="G157" t="n">
        <v>0.999249762586267</v>
      </c>
    </row>
    <row r="158">
      <c r="A158" t="e">
        <v>#REF!</v>
      </c>
      <c r="B158" t="inlineStr">
        <is>
          <t>Aguarras Alfa 4L</t>
        </is>
      </c>
      <c r="C158" t="n">
        <v>7874009</v>
      </c>
      <c r="D158" t="n">
        <v>1049535634</v>
      </c>
      <c r="E158" t="n">
        <v>1041661625</v>
      </c>
      <c r="F158" t="n">
        <v>133.2911397485068</v>
      </c>
      <c r="G158" t="n">
        <v>0.9924976258595523</v>
      </c>
    </row>
    <row r="159">
      <c r="A159" t="n">
        <v>10138</v>
      </c>
      <c r="B159" t="inlineStr">
        <is>
          <t>Thinner Estandar Alfa 1L</t>
        </is>
      </c>
      <c r="C159" t="n">
        <v>27794728</v>
      </c>
      <c r="D159" t="n">
        <v>3704790976</v>
      </c>
      <c r="E159" t="n">
        <v>3676996248</v>
      </c>
      <c r="F159" t="n">
        <v>133.2911398161551</v>
      </c>
      <c r="G159" t="n">
        <v>0.9924976258633599</v>
      </c>
    </row>
    <row r="160">
      <c r="A160" t="n">
        <v>10139</v>
      </c>
      <c r="B160" t="inlineStr">
        <is>
          <t>Thinner Estandar Alfa 4L</t>
        </is>
      </c>
      <c r="C160" t="n">
        <v>1039072385</v>
      </c>
      <c r="D160" t="n">
        <v>1384991425</v>
      </c>
      <c r="E160" t="n">
        <v>345919040</v>
      </c>
      <c r="F160" t="n">
        <v>1.332911397698246</v>
      </c>
      <c r="G160" t="n">
        <v>0.249762586075217</v>
      </c>
    </row>
    <row r="161">
      <c r="A161" t="n">
        <v>10140</v>
      </c>
      <c r="B161" t="inlineStr">
        <is>
          <t>MEMBRANA EN ROLLO</t>
        </is>
      </c>
      <c r="C161" t="n">
        <v/>
      </c>
      <c r="D161" t="n">
        <v/>
      </c>
      <c r="E161" t="n">
        <v/>
      </c>
      <c r="F161" t="n">
        <v/>
      </c>
      <c r="G161" t="n">
        <v/>
      </c>
    </row>
    <row r="162">
      <c r="A162" t="n">
        <v/>
      </c>
      <c r="B162" t="inlineStr">
        <is>
          <t>Emapi Membrana Superflex 400 Economica 35KG</t>
        </is>
      </c>
      <c r="C162" t="n">
        <v>3502537285</v>
      </c>
      <c r="D162" t="n">
        <v>4489011413</v>
      </c>
      <c r="E162" t="n">
        <v>986474128</v>
      </c>
      <c r="F162" t="n">
        <v>1.281645575116269</v>
      </c>
      <c r="G162" t="n">
        <v>0.2197530897656464</v>
      </c>
    </row>
    <row r="163">
      <c r="A163" t="n">
        <v>20247</v>
      </c>
      <c r="B163" t="inlineStr">
        <is>
          <t>CONVERTIDORES DE OXIDO Y ANTIOXIDO</t>
        </is>
      </c>
      <c r="C163" t="n">
        <v/>
      </c>
      <c r="D163" t="n">
        <v/>
      </c>
      <c r="E163" t="n">
        <v/>
      </c>
      <c r="F163" t="n">
        <v/>
      </c>
      <c r="G163" t="n">
        <v/>
      </c>
    </row>
    <row r="164">
      <c r="A164" t="n">
        <v>20246</v>
      </c>
      <c r="B164" t="inlineStr">
        <is>
          <t>Ferro Bet Convertidor (Rojo) 0,25L</t>
        </is>
      </c>
      <c r="C164" t="n">
        <v>429927875</v>
      </c>
      <c r="D164" t="n">
        <v>5730557649</v>
      </c>
      <c r="E164" t="n">
        <v>5300629774</v>
      </c>
      <c r="F164" t="n">
        <v>13.32911397987395</v>
      </c>
      <c r="G164" t="n">
        <v>0.9249762586237966</v>
      </c>
    </row>
    <row r="165">
      <c r="A165" t="n">
        <v/>
      </c>
      <c r="B165" t="inlineStr">
        <is>
          <t>Ferro Bet Convertidor (Rojo) 0,5L</t>
        </is>
      </c>
      <c r="C165" t="n">
        <v>643102265</v>
      </c>
      <c r="D165" t="n">
        <v>8571983391</v>
      </c>
      <c r="E165" t="n">
        <v>7928881126</v>
      </c>
      <c r="F165" t="n">
        <v>13.32911398002929</v>
      </c>
      <c r="G165" t="n">
        <v>0.9249762586246709</v>
      </c>
    </row>
    <row r="166">
      <c r="A166" t="e">
        <v>#REF!</v>
      </c>
      <c r="B166" t="inlineStr">
        <is>
          <t>Ferro Bet Convertidor (Rojo) 1L</t>
        </is>
      </c>
      <c r="C166" t="n">
        <v>998218325</v>
      </c>
      <c r="D166" t="n">
        <v>1330536583</v>
      </c>
      <c r="E166" t="n">
        <v>332318258</v>
      </c>
      <c r="F166" t="n">
        <v>1.33291139791488</v>
      </c>
      <c r="G166" t="n">
        <v>0.2497625861971508</v>
      </c>
    </row>
    <row r="167">
      <c r="A167" t="e">
        <v>#REF!</v>
      </c>
      <c r="B167" t="inlineStr">
        <is>
          <t>Ferro Bet Convertidor (Rojo) 4L</t>
        </is>
      </c>
      <c r="C167" t="n">
        <v>373727354</v>
      </c>
      <c r="D167" t="n">
        <v>4981454499</v>
      </c>
      <c r="E167" t="n">
        <v>4607727145</v>
      </c>
      <c r="F167" t="n">
        <v>13.32911398024133</v>
      </c>
      <c r="G167" t="n">
        <v>0.9249762586258644</v>
      </c>
    </row>
    <row r="168">
      <c r="A168" t="n">
        <v>4431</v>
      </c>
      <c r="B168" t="inlineStr">
        <is>
          <t>Alba Standard Fondo Antioxido 0,5L</t>
        </is>
      </c>
      <c r="C168" t="n">
        <v>501160595</v>
      </c>
      <c r="D168" t="n">
        <v>6166178486</v>
      </c>
      <c r="E168" t="n">
        <v>5665017891</v>
      </c>
      <c r="F168" t="n">
        <v>12.30379752023401</v>
      </c>
      <c r="G168" t="n">
        <v>0.918724280178094</v>
      </c>
    </row>
    <row r="169">
      <c r="A169" t="n">
        <v>4432</v>
      </c>
      <c r="B169" t="inlineStr">
        <is>
          <t>Alba Standard Fondo Antioxido 1L</t>
        </is>
      </c>
      <c r="C169" t="n">
        <v>854879935</v>
      </c>
      <c r="D169" t="n">
        <v>1051826962</v>
      </c>
      <c r="E169" t="n">
        <v>196947027</v>
      </c>
      <c r="F169" t="n">
        <v>1.230379751514463</v>
      </c>
      <c r="G169" t="n">
        <v>0.1872428014447494</v>
      </c>
    </row>
    <row r="170">
      <c r="A170" t="n">
        <v/>
      </c>
      <c r="B170" t="inlineStr">
        <is>
          <t>Alba Standard Fondo Antioxido 4L</t>
        </is>
      </c>
      <c r="C170" t="n">
        <v>294777756</v>
      </c>
      <c r="D170" t="n">
        <v>3626885823</v>
      </c>
      <c r="E170" t="n">
        <v>3332108067</v>
      </c>
      <c r="F170" t="n">
        <v>12.30379751924022</v>
      </c>
      <c r="G170" t="n">
        <v>0.9187242801715294</v>
      </c>
    </row>
    <row r="171">
      <c r="A171" t="n">
        <v>4302</v>
      </c>
      <c r="B171" t="inlineStr">
        <is>
          <t>ENTONADORES</t>
        </is>
      </c>
      <c r="C171" t="n">
        <v/>
      </c>
      <c r="D171" t="n">
        <v/>
      </c>
      <c r="E171" t="n">
        <v/>
      </c>
      <c r="F171" t="n">
        <v/>
      </c>
      <c r="G171" t="n">
        <v/>
      </c>
    </row>
    <row r="172">
      <c r="A172" t="n">
        <v>4174</v>
      </c>
      <c r="B172" t="inlineStr">
        <is>
          <t>Tersuave Entonador Universal 30cc</t>
        </is>
      </c>
      <c r="C172" t="n">
        <v>506311</v>
      </c>
      <c r="D172" t="n">
        <v>7267806031</v>
      </c>
      <c r="E172" t="n">
        <v>7267299720</v>
      </c>
      <c r="F172" t="n">
        <v>14354.43044097403</v>
      </c>
      <c r="G172" t="n">
        <v>0.9999303350972989</v>
      </c>
    </row>
    <row r="173">
      <c r="A173" t="n">
        <v>4175</v>
      </c>
      <c r="B173" t="inlineStr">
        <is>
          <t>Tersuave Entonador Universal 120cc</t>
        </is>
      </c>
      <c r="C173" t="n">
        <v>164551075</v>
      </c>
      <c r="D173" t="n">
        <v>236203696</v>
      </c>
      <c r="E173" t="n">
        <v>71652621</v>
      </c>
      <c r="F173" t="n">
        <v>1.435443044051824</v>
      </c>
      <c r="G173" t="n">
        <v>0.3033509729669937</v>
      </c>
    </row>
    <row r="174">
      <c r="A174" t="n">
        <v/>
      </c>
      <c r="B174" t="n">
        <v/>
      </c>
      <c r="C174" t="n">
        <v/>
      </c>
      <c r="D174" t="n">
        <v/>
      </c>
      <c r="E174" t="n">
        <v/>
      </c>
      <c r="F174" t="n">
        <v/>
      </c>
      <c r="G174" t="n">
        <v/>
      </c>
    </row>
    <row r="175">
      <c r="A175" t="n">
        <v/>
      </c>
      <c r="B175" t="n">
        <v/>
      </c>
      <c r="C175" t="n">
        <v/>
      </c>
      <c r="D175" t="n">
        <v/>
      </c>
      <c r="E175" t="n">
        <v/>
      </c>
      <c r="F175" t="n">
        <v/>
      </c>
      <c r="G175" t="n">
        <v/>
      </c>
    </row>
    <row r="176">
      <c r="A176" t="n">
        <v/>
      </c>
      <c r="B176" t="n">
        <v/>
      </c>
      <c r="C176" t="n">
        <v/>
      </c>
      <c r="D176" t="n">
        <v/>
      </c>
      <c r="E176" t="n">
        <v/>
      </c>
      <c r="F176" t="n">
        <v/>
      </c>
      <c r="G176" t="n">
        <v/>
      </c>
    </row>
    <row r="177">
      <c r="A177" t="n">
        <v/>
      </c>
      <c r="B177" t="n">
        <v/>
      </c>
      <c r="C177" t="n">
        <v/>
      </c>
      <c r="D177" t="n">
        <v/>
      </c>
      <c r="E177" t="n">
        <v/>
      </c>
      <c r="F177" t="n">
        <v/>
      </c>
      <c r="G177" t="n">
        <v/>
      </c>
    </row>
    <row r="178">
      <c r="A178" t="n">
        <v>4176</v>
      </c>
      <c r="B178" t="inlineStr">
        <is>
          <t>REMOVEDORES</t>
        </is>
      </c>
      <c r="C178" t="n">
        <v/>
      </c>
      <c r="D178" t="n">
        <v/>
      </c>
      <c r="E178" t="n">
        <v/>
      </c>
      <c r="F178" t="n">
        <v/>
      </c>
      <c r="G178" t="n">
        <v/>
      </c>
    </row>
    <row r="179">
      <c r="A179" t="n">
        <v>4127</v>
      </c>
      <c r="B179" t="inlineStr">
        <is>
          <t>Removedor Gel Vitecso 0,5L</t>
        </is>
      </c>
      <c r="C179" t="n">
        <v>54733965</v>
      </c>
      <c r="D179" t="n">
        <v>6734356228</v>
      </c>
      <c r="E179" t="n">
        <v>6679622263</v>
      </c>
      <c r="F179" t="n">
        <v>123.0379751951097</v>
      </c>
      <c r="G179" t="n">
        <v>0.9918724280173318</v>
      </c>
    </row>
    <row r="180">
      <c r="A180" t="n">
        <v>4141</v>
      </c>
      <c r="B180" t="inlineStr">
        <is>
          <t>Removedor Gel Vitecso 1L</t>
        </is>
      </c>
      <c r="C180" t="n">
        <v>93213601</v>
      </c>
      <c r="D180" t="n">
        <v>1146881273</v>
      </c>
      <c r="E180" t="n">
        <v>1053667672</v>
      </c>
      <c r="F180" t="n">
        <v>12.30379752199467</v>
      </c>
      <c r="G180" t="n">
        <v>0.9187242801897245</v>
      </c>
    </row>
    <row r="181">
      <c r="A181" t="n">
        <v>7655</v>
      </c>
      <c r="B181" t="inlineStr">
        <is>
          <t>Removedor Gel Vitecso 4L</t>
        </is>
      </c>
      <c r="C181" t="n">
        <v>336242881</v>
      </c>
      <c r="D181" t="n">
        <v>4137064325</v>
      </c>
      <c r="E181" t="n">
        <v>3800821444</v>
      </c>
      <c r="F181" t="n">
        <v>12.30379751891312</v>
      </c>
      <c r="G181" t="n">
        <v>0.9187242801693687</v>
      </c>
    </row>
    <row r="182">
      <c r="A182" t="n">
        <v>7656</v>
      </c>
      <c r="B182" t="inlineStr">
        <is>
          <t>Removedor Gel Vitecso 18L</t>
        </is>
      </c>
      <c r="C182" t="n">
        <v>1424610753</v>
      </c>
      <c r="D182" t="n">
        <v>1752812224</v>
      </c>
      <c r="E182" t="n">
        <v>328201471</v>
      </c>
      <c r="F182" t="n">
        <v>1.230379751317236</v>
      </c>
      <c r="G182" t="n">
        <v>0.1872428013144664</v>
      </c>
    </row>
    <row r="183">
      <c r="A183" t="n">
        <v>2690</v>
      </c>
      <c r="B183" t="inlineStr">
        <is>
          <t>PINCELES Y RODILLOS</t>
        </is>
      </c>
      <c r="C183" t="n">
        <v/>
      </c>
      <c r="D183" t="n">
        <v/>
      </c>
      <c r="E183" t="n">
        <v/>
      </c>
      <c r="F183" t="n">
        <v/>
      </c>
      <c r="G183" t="n">
        <v/>
      </c>
    </row>
    <row r="184">
      <c r="A184" t="n">
        <v>4077</v>
      </c>
      <c r="B184" t="inlineStr">
        <is>
          <t>Rodillo El Vencedor Lanar Blanco Tubo 50mm 22cm</t>
        </is>
      </c>
      <c r="C184" t="n">
        <v>424690175</v>
      </c>
      <c r="D184" t="n">
        <v>5660743749</v>
      </c>
      <c r="E184" t="n">
        <v>5236053574</v>
      </c>
      <c r="F184" t="n">
        <v>13.32911398056242</v>
      </c>
      <c r="G184" t="n">
        <v>0.9249762586276717</v>
      </c>
    </row>
    <row r="185">
      <c r="A185" t="n">
        <v>4056</v>
      </c>
      <c r="B185" t="inlineStr">
        <is>
          <t>Pincel Vencedor Cerda Blanca N°10</t>
        </is>
      </c>
      <c r="C185" t="n">
        <v>108333095</v>
      </c>
      <c r="D185" t="n">
        <v>1555059877</v>
      </c>
      <c r="E185" t="n">
        <v>1446726782</v>
      </c>
      <c r="F185" t="n">
        <v>14.35443044436236</v>
      </c>
      <c r="G185" t="n">
        <v>0.9303350973153557</v>
      </c>
    </row>
    <row r="186">
      <c r="A186" t="n">
        <v>4055</v>
      </c>
      <c r="B186" t="inlineStr">
        <is>
          <t>Pincel Vencedor Cerda Blanca N°15</t>
        </is>
      </c>
      <c r="C186" t="n">
        <v>121601935</v>
      </c>
      <c r="D186" t="n">
        <v>1745526517</v>
      </c>
      <c r="E186" t="n">
        <v>1623924582</v>
      </c>
      <c r="F186" t="n">
        <v>14.35443043731171</v>
      </c>
      <c r="G186" t="n">
        <v>0.9303350972811374</v>
      </c>
    </row>
    <row r="187">
      <c r="A187" t="n">
        <v>4058</v>
      </c>
      <c r="B187" t="inlineStr">
        <is>
          <t>Pincel Vencedor Cerda Blanca N°20</t>
        </is>
      </c>
      <c r="C187" t="n">
        <v>14595724</v>
      </c>
      <c r="D187" t="n">
        <v>2095133049</v>
      </c>
      <c r="E187" t="n">
        <v>2080537325</v>
      </c>
      <c r="F187" t="n">
        <v>143.5443044140873</v>
      </c>
      <c r="G187" t="n">
        <v>0.9930335097301021</v>
      </c>
    </row>
    <row r="188">
      <c r="A188" t="n">
        <v>7922</v>
      </c>
      <c r="B188" t="inlineStr">
        <is>
          <t>Pincel Vencedor Cerda Blanca N°25</t>
        </is>
      </c>
      <c r="C188" t="n">
        <v>191263345</v>
      </c>
      <c r="D188" t="n">
        <v>2745476382</v>
      </c>
      <c r="E188" t="n">
        <v>2554213037</v>
      </c>
      <c r="F188" t="n">
        <v>14.35443044248755</v>
      </c>
      <c r="G188" t="n">
        <v>0.9303350973062569</v>
      </c>
    </row>
    <row r="189">
      <c r="A189" t="n">
        <v>7923</v>
      </c>
      <c r="B189" t="inlineStr">
        <is>
          <t>Pincel Vencedor Cerda Blanca N°30</t>
        </is>
      </c>
      <c r="C189" t="n">
        <v>235085435</v>
      </c>
      <c r="D189" t="n">
        <v>3374517524</v>
      </c>
      <c r="E189" t="n">
        <v>3139432089</v>
      </c>
      <c r="F189" t="n">
        <v>14.35443043929965</v>
      </c>
      <c r="G189" t="n">
        <v>0.9303350972907853</v>
      </c>
    </row>
    <row r="190">
      <c r="A190" t="n">
        <v>7924</v>
      </c>
      <c r="B190" t="inlineStr">
        <is>
          <t>Pinceleta Rosarpin Serie Eko N°40</t>
        </is>
      </c>
      <c r="C190" t="n">
        <v>472353245</v>
      </c>
      <c r="D190" t="n">
        <v>6780361798</v>
      </c>
      <c r="E190" t="n">
        <v>6308008553</v>
      </c>
      <c r="F190" t="n">
        <v>14.35443043902451</v>
      </c>
      <c r="G190" t="n">
        <v>0.93033509728945</v>
      </c>
    </row>
    <row r="191">
      <c r="A191" t="n">
        <v/>
      </c>
      <c r="B191" t="inlineStr">
        <is>
          <t>Pincel Rosarpin Serie Ecoline Cerda Negra N°15</t>
        </is>
      </c>
      <c r="C191" t="n">
        <v>109031455</v>
      </c>
      <c r="D191" t="n">
        <v>1565084437</v>
      </c>
      <c r="E191" t="n">
        <v>1456052982</v>
      </c>
      <c r="F191" t="n">
        <v>14.35443044394849</v>
      </c>
      <c r="G191" t="n">
        <v>0.9303350973133471</v>
      </c>
    </row>
    <row r="192">
      <c r="A192" t="n">
        <v>4001</v>
      </c>
      <c r="B192" t="inlineStr">
        <is>
          <t>Rodillo Epoxi Pelo Corto Blanco Tornado 22x40cm</t>
        </is>
      </c>
      <c r="C192" t="n">
        <v>30238988</v>
      </c>
      <c r="D192" t="n">
        <v>4030589177</v>
      </c>
      <c r="E192" t="n">
        <v>4000350189</v>
      </c>
      <c r="F192" t="n">
        <v>133.2911398026945</v>
      </c>
      <c r="G192" t="n">
        <v>0.9924976258626023</v>
      </c>
    </row>
    <row r="193">
      <c r="A193" t="n">
        <v>4000</v>
      </c>
      <c r="B193" t="inlineStr">
        <is>
          <t>Rodillo Multiuso Tornado 23x40cm</t>
        </is>
      </c>
      <c r="C193" t="n">
        <v>28039154</v>
      </c>
      <c r="D193" t="n">
        <v>3737370796</v>
      </c>
      <c r="E193" t="n">
        <v>3709331642</v>
      </c>
      <c r="F193" t="n">
        <v>133.291139811137</v>
      </c>
      <c r="G193" t="n">
        <v>0.9924976258630774</v>
      </c>
    </row>
    <row r="194">
      <c r="A194" t="n">
        <v>4066</v>
      </c>
      <c r="B194" t="inlineStr">
        <is>
          <t>Rodillo Galgo Hogar Lana Nat. N°22</t>
        </is>
      </c>
      <c r="C194" t="n">
        <v>524206475</v>
      </c>
      <c r="D194" t="n">
        <v>6987207854</v>
      </c>
      <c r="E194" t="n">
        <v>6463001379</v>
      </c>
      <c r="F194" t="n">
        <v>13.32911397937235</v>
      </c>
      <c r="G194" t="n">
        <v>0.9249762586209733</v>
      </c>
    </row>
    <row r="195">
      <c r="A195" t="n">
        <v/>
      </c>
      <c r="B195" t="inlineStr">
        <is>
          <t>Rodillo Rosarpin Antigota T40 10cm</t>
        </is>
      </c>
      <c r="C195" t="n">
        <v>234910845</v>
      </c>
      <c r="D195" t="n">
        <v>3131153428</v>
      </c>
      <c r="E195" t="n">
        <v>2896242583</v>
      </c>
      <c r="F195" t="n">
        <v>13.32911397939078</v>
      </c>
      <c r="G195" t="n">
        <v>0.924976258621077</v>
      </c>
    </row>
    <row r="196">
      <c r="A196" t="n">
        <v>4182</v>
      </c>
      <c r="B196" t="inlineStr">
        <is>
          <t>Rodillo Rosarpin Antigota T40 18cm</t>
        </is>
      </c>
      <c r="C196" t="n">
        <v>38357423</v>
      </c>
      <c r="D196" t="n">
        <v>5112704631</v>
      </c>
      <c r="E196" t="n">
        <v>5074347208</v>
      </c>
      <c r="F196" t="n">
        <v>133.2911397879884</v>
      </c>
      <c r="G196" t="n">
        <v>0.9924976258617745</v>
      </c>
    </row>
    <row r="197">
      <c r="A197" t="n">
        <v>4183</v>
      </c>
      <c r="B197" t="inlineStr">
        <is>
          <t>Rodillo Rosarpin Antigota T40 22cm</t>
        </is>
      </c>
      <c r="C197" t="n">
        <v>423817225</v>
      </c>
      <c r="D197" t="n">
        <v>5649108099</v>
      </c>
      <c r="E197" t="n">
        <v>5225290874</v>
      </c>
      <c r="F197" t="n">
        <v>13.32911398067882</v>
      </c>
      <c r="G197" t="n">
        <v>0.9249762586283269</v>
      </c>
    </row>
    <row r="198">
      <c r="A198" t="n">
        <v>4184</v>
      </c>
      <c r="B198" t="inlineStr">
        <is>
          <t>Rodillo Rosarpin Lana Natural Clásico 22cm</t>
        </is>
      </c>
      <c r="C198" t="n">
        <v>1007471595</v>
      </c>
      <c r="D198" t="n">
        <v>1342870372</v>
      </c>
      <c r="E198" t="n">
        <v>335398777</v>
      </c>
      <c r="F198" t="n">
        <v>1.332911397864274</v>
      </c>
      <c r="G198" t="n">
        <v>0.2497625861686671</v>
      </c>
    </row>
    <row r="199">
      <c r="A199" t="n">
        <v>4079</v>
      </c>
      <c r="B199" t="inlineStr">
        <is>
          <t>Rodillo Matezz Mini Epoxi Thermo 5cm</t>
        </is>
      </c>
      <c r="C199" t="n">
        <v>47575775</v>
      </c>
      <c r="D199" t="n">
        <v>6829231529</v>
      </c>
      <c r="E199" t="n">
        <v>6781655754</v>
      </c>
      <c r="F199" t="n">
        <v>143.5443044070223</v>
      </c>
      <c r="G199" t="n">
        <v>0.9930335097297592</v>
      </c>
    </row>
    <row r="200">
      <c r="A200" t="n">
        <v>4185</v>
      </c>
      <c r="B200" t="inlineStr">
        <is>
          <t>Rodillo Matezz Mini Epoxi Thermo 8cm</t>
        </is>
      </c>
      <c r="C200" t="n">
        <v>56130685</v>
      </c>
      <c r="D200" t="n">
        <v>8057240134</v>
      </c>
      <c r="E200" t="n">
        <v>8001109449</v>
      </c>
      <c r="F200" t="n">
        <v>143.5443044031977</v>
      </c>
      <c r="G200" t="n">
        <v>0.9930335097295736</v>
      </c>
    </row>
    <row r="201">
      <c r="A201" t="n">
        <v>4186</v>
      </c>
      <c r="B201" t="inlineStr">
        <is>
          <t>Rodillo Matezz Mini Epoxi Thermo 11cm</t>
        </is>
      </c>
      <c r="C201" t="n">
        <v>6372535</v>
      </c>
      <c r="D201" t="n">
        <v>9147411038</v>
      </c>
      <c r="E201" t="n">
        <v>9141038503</v>
      </c>
      <c r="F201" t="n">
        <v>1435.443043937774</v>
      </c>
      <c r="G201" t="n">
        <v>0.9993033509729117</v>
      </c>
    </row>
    <row r="202">
      <c r="A202" t="n">
        <v>4187</v>
      </c>
      <c r="B202" t="inlineStr">
        <is>
          <t>BANDEJAS</t>
        </is>
      </c>
      <c r="C202" t="n">
        <v/>
      </c>
      <c r="D202" t="n">
        <v/>
      </c>
      <c r="E202" t="n">
        <v/>
      </c>
      <c r="F202" t="n">
        <v/>
      </c>
      <c r="G202" t="n">
        <v/>
      </c>
    </row>
    <row r="203">
      <c r="A203" t="n">
        <v>52000</v>
      </c>
      <c r="B203" t="inlineStr">
        <is>
          <t>Bandeja Colgar + Escurridor Rosarpin</t>
        </is>
      </c>
      <c r="C203" t="n">
        <v>254639515</v>
      </c>
      <c r="D203" t="n">
        <v>3133033033</v>
      </c>
      <c r="E203" t="n">
        <v>2878393518</v>
      </c>
      <c r="F203" t="n">
        <v>12.30379751940699</v>
      </c>
      <c r="G203" t="n">
        <v>0.9187242801726311</v>
      </c>
    </row>
    <row r="204">
      <c r="A204" t="n">
        <v>52001</v>
      </c>
      <c r="B204" t="inlineStr">
        <is>
          <t>Bandeja Plástica Mini Rosarpin</t>
        </is>
      </c>
      <c r="C204" t="n">
        <v>7175649</v>
      </c>
      <c r="D204" t="n">
        <v>8828773237</v>
      </c>
      <c r="E204" t="n">
        <v>8821597588</v>
      </c>
      <c r="F204" t="n">
        <v>1230.379751991771</v>
      </c>
      <c r="G204" t="n">
        <v>0.9991872428017601</v>
      </c>
    </row>
    <row r="205">
      <c r="A205" t="n">
        <v>52002</v>
      </c>
      <c r="B205" t="inlineStr">
        <is>
          <t>Bandeja Plástica Plana Rosarpin</t>
        </is>
      </c>
      <c r="C205" t="n">
        <v>224260855</v>
      </c>
      <c r="D205" t="n">
        <v>2759260152</v>
      </c>
      <c r="E205" t="n">
        <v>2534999297</v>
      </c>
      <c r="F205" t="n">
        <v>12.30379752186355</v>
      </c>
      <c r="G205" t="n">
        <v>0.9187242801888584</v>
      </c>
    </row>
    <row r="206">
      <c r="A206" t="n">
        <v>52003</v>
      </c>
      <c r="B206" t="inlineStr">
        <is>
          <t>ESPATULAS</t>
        </is>
      </c>
      <c r="C206" t="n">
        <v/>
      </c>
      <c r="D206" t="n">
        <v/>
      </c>
      <c r="E206" t="n">
        <v/>
      </c>
      <c r="F206" t="n">
        <v/>
      </c>
      <c r="G206" t="n">
        <v/>
      </c>
    </row>
    <row r="207">
      <c r="A207" t="n">
        <v>52004</v>
      </c>
      <c r="B207" t="inlineStr">
        <is>
          <t>Espatula de Acero Rosarpin 4cm</t>
        </is>
      </c>
      <c r="C207" t="n">
        <v>140457655</v>
      </c>
      <c r="D207" t="n">
        <v>1728162547</v>
      </c>
      <c r="E207" t="n">
        <v>1587704892</v>
      </c>
      <c r="F207" t="n">
        <v>12.30379751819151</v>
      </c>
      <c r="G207" t="n">
        <v>0.9187242801646019</v>
      </c>
    </row>
    <row r="208">
      <c r="A208" t="n">
        <v>52005</v>
      </c>
      <c r="B208" t="inlineStr">
        <is>
          <t>Espatula de Acero Rosarpin 5cm</t>
        </is>
      </c>
      <c r="C208" t="n">
        <v>150409285</v>
      </c>
      <c r="D208" t="n">
        <v>1850605388</v>
      </c>
      <c r="E208" t="n">
        <v>1700196103</v>
      </c>
      <c r="F208" t="n">
        <v>12.30379752154264</v>
      </c>
      <c r="G208" t="n">
        <v>0.9187242801867386</v>
      </c>
    </row>
    <row r="209">
      <c r="A209" t="n">
        <v>52006</v>
      </c>
      <c r="B209" t="inlineStr">
        <is>
          <t>Espatula de Acero Rosarpin 6cm</t>
        </is>
      </c>
      <c r="C209" t="n">
        <v>161932225</v>
      </c>
      <c r="D209" t="n">
        <v>1992381308</v>
      </c>
      <c r="E209" t="n">
        <v>1830449083</v>
      </c>
      <c r="F209" t="n">
        <v>12.30379751775781</v>
      </c>
      <c r="G209" t="n">
        <v>0.918724280161737</v>
      </c>
    </row>
    <row r="210">
      <c r="A210" t="e">
        <v>#REF!</v>
      </c>
      <c r="B210" t="inlineStr">
        <is>
          <t>Espatula de Acero Rosarpin 7cm</t>
        </is>
      </c>
      <c r="C210" t="n">
        <v>179565815</v>
      </c>
      <c r="D210" t="n">
        <v>2209341429</v>
      </c>
      <c r="E210" t="n">
        <v>2029775614</v>
      </c>
      <c r="F210" t="n">
        <v>12.30379751847533</v>
      </c>
      <c r="G210" t="n">
        <v>0.9187242801664767</v>
      </c>
    </row>
    <row r="211">
      <c r="A211" t="e">
        <v>#REF!</v>
      </c>
      <c r="B211" t="inlineStr">
        <is>
          <t>Espatula de Acero Rosarpin 10cm</t>
        </is>
      </c>
      <c r="C211" t="n">
        <v>208198575</v>
      </c>
      <c r="D211" t="n">
        <v>2561633111</v>
      </c>
      <c r="E211" t="n">
        <v>2353434536</v>
      </c>
      <c r="F211" t="n">
        <v>12.30379752118861</v>
      </c>
      <c r="G211" t="n">
        <v>0.9187242801843999</v>
      </c>
    </row>
    <row r="212">
      <c r="A212" t="e">
        <v>#REF!</v>
      </c>
      <c r="B212" t="inlineStr">
        <is>
          <t>Espatula de Acero Rosarpin 12cm</t>
        </is>
      </c>
      <c r="C212" t="n">
        <v>229673145</v>
      </c>
      <c r="D212" t="n">
        <v>2825851872</v>
      </c>
      <c r="E212" t="n">
        <v>2596178727</v>
      </c>
      <c r="F212" t="n">
        <v>12.30379752060259</v>
      </c>
      <c r="G212" t="n">
        <v>0.9187242801805289</v>
      </c>
    </row>
    <row r="213">
      <c r="A213" t="e">
        <v>#REF!</v>
      </c>
      <c r="B213" t="inlineStr">
        <is>
          <t>Espatula de Acero Rosarpin 15cm</t>
        </is>
      </c>
      <c r="C213" t="n">
        <v>25944074</v>
      </c>
      <c r="D213" t="n">
        <v>3192106333</v>
      </c>
      <c r="E213" t="n">
        <v>3166162259</v>
      </c>
      <c r="F213" t="n">
        <v>123.0379751846221</v>
      </c>
      <c r="G213" t="n">
        <v>0.991872428016639</v>
      </c>
    </row>
    <row r="214">
      <c r="A214" t="n">
        <v/>
      </c>
      <c r="B214" t="inlineStr">
        <is>
          <t>Espatula Pintor Profesional Acero N°3</t>
        </is>
      </c>
      <c r="C214" t="n">
        <v>21684078</v>
      </c>
      <c r="D214" t="n">
        <v>2667965051</v>
      </c>
      <c r="E214" t="n">
        <v>2646280973</v>
      </c>
      <c r="F214" t="n">
        <v>123.037975190829</v>
      </c>
      <c r="G214" t="n">
        <v>0.991872428017049</v>
      </c>
    </row>
    <row r="215">
      <c r="A215" t="n">
        <v>18054</v>
      </c>
      <c r="B215" t="inlineStr">
        <is>
          <t>Espatula Pintor Profesional Acero N°4</t>
        </is>
      </c>
      <c r="C215" t="n">
        <v>24372764</v>
      </c>
      <c r="D215" t="n">
        <v>2998775533</v>
      </c>
      <c r="E215" t="n">
        <v>2974402769</v>
      </c>
      <c r="F215" t="n">
        <v>123.0379752169266</v>
      </c>
      <c r="G215" t="n">
        <v>0.991872428018773</v>
      </c>
    </row>
    <row r="216">
      <c r="A216" t="n">
        <v>18055</v>
      </c>
      <c r="B216" t="inlineStr">
        <is>
          <t>Espatula Pintor Profesional Acero N°5</t>
        </is>
      </c>
      <c r="C216" t="n">
        <v>26590057</v>
      </c>
      <c r="D216" t="n">
        <v>3271586774</v>
      </c>
      <c r="E216" t="n">
        <v>3244996717</v>
      </c>
      <c r="F216" t="n">
        <v>123.0379752100569</v>
      </c>
      <c r="G216" t="n">
        <v>0.9918724280183192</v>
      </c>
    </row>
    <row r="217">
      <c r="A217" t="n">
        <v>18056</v>
      </c>
      <c r="B217" t="inlineStr">
        <is>
          <t>Espatula Pintor Profesional Acero N°6</t>
        </is>
      </c>
      <c r="C217" t="n">
        <v>282050145</v>
      </c>
      <c r="D217" t="n">
        <v>3470287875</v>
      </c>
      <c r="E217" t="n">
        <v>3188237730</v>
      </c>
      <c r="F217" t="n">
        <v>12.30379752153646</v>
      </c>
      <c r="G217" t="n">
        <v>0.9187242801866977</v>
      </c>
    </row>
    <row r="218">
      <c r="A218" t="n">
        <v>18072</v>
      </c>
      <c r="B218" t="inlineStr">
        <is>
          <t>Espatula Pintor Profesional Acero N°7</t>
        </is>
      </c>
      <c r="C218" t="n">
        <v>0</v>
      </c>
      <c r="D218" t="n">
        <v>0</v>
      </c>
      <c r="E218" t="n">
        <v>0</v>
      </c>
      <c r="F218" t="n">
        <v/>
      </c>
      <c r="G218" t="n">
        <v/>
      </c>
    </row>
    <row r="219">
      <c r="A219" t="n">
        <v>18073</v>
      </c>
      <c r="B219" t="inlineStr">
        <is>
          <t>Espatula Pintor Profesional Acero N°8</t>
        </is>
      </c>
      <c r="C219" t="n">
        <v>32176937</v>
      </c>
      <c r="D219" t="n">
        <v>3958985177</v>
      </c>
      <c r="E219" t="n">
        <v>3926808240</v>
      </c>
      <c r="F219" t="n">
        <v>123.037975211873</v>
      </c>
      <c r="G219" t="n">
        <v>0.9918724280184391</v>
      </c>
    </row>
    <row r="220">
      <c r="A220" t="n">
        <v>18074</v>
      </c>
      <c r="B220" t="inlineStr">
        <is>
          <t>Espatula Pintor Profesional Acero N°9</t>
        </is>
      </c>
      <c r="C220" t="n">
        <v>34673574</v>
      </c>
      <c r="D220" t="n">
        <v>4266166338</v>
      </c>
      <c r="E220" t="n">
        <v>4231492764</v>
      </c>
      <c r="F220" t="n">
        <v>123.0379752026716</v>
      </c>
      <c r="G220" t="n">
        <v>0.9918724280178313</v>
      </c>
    </row>
    <row r="221">
      <c r="A221" t="n">
        <v>18159</v>
      </c>
      <c r="B221" t="inlineStr">
        <is>
          <t>IMPREGNANTES PISOS Y LADRILLOS</t>
        </is>
      </c>
      <c r="C221" t="n">
        <v/>
      </c>
      <c r="D221" t="n">
        <v/>
      </c>
      <c r="E221" t="n">
        <v/>
      </c>
      <c r="F221" t="n">
        <v/>
      </c>
      <c r="G221" t="n">
        <v/>
      </c>
    </row>
    <row r="222">
      <c r="A222" t="n">
        <v>18010</v>
      </c>
      <c r="B222" t="inlineStr">
        <is>
          <t>Cetol Classic Brillante 1L (Caoba,Cedro,Cristal,Natural,Nogal,Roble)</t>
        </is>
      </c>
      <c r="C222" t="n">
        <v>1141207535</v>
      </c>
      <c r="D222" t="n">
        <v>1404118644</v>
      </c>
      <c r="E222" t="n">
        <v>262911109</v>
      </c>
      <c r="F222" t="n">
        <v>1.230379752093032</v>
      </c>
      <c r="G222" t="n">
        <v>0.1872428018269374</v>
      </c>
    </row>
    <row r="223">
      <c r="A223" t="n">
        <v>18011</v>
      </c>
      <c r="B223" t="n">
        <v/>
      </c>
      <c r="C223" t="n">
        <v/>
      </c>
      <c r="D223" t="n">
        <v/>
      </c>
      <c r="E223" t="n">
        <v/>
      </c>
      <c r="F223" t="n">
        <v/>
      </c>
      <c r="G223" t="n">
        <v/>
      </c>
    </row>
    <row r="224">
      <c r="A224" t="n">
        <v>18012</v>
      </c>
      <c r="B224" t="inlineStr">
        <is>
          <t>Cetol Classic Brillante 4L (Caoba,Cedro,Cristal,Natural,Nogal,Roble)</t>
        </is>
      </c>
      <c r="C224" t="n">
        <v>371230717</v>
      </c>
      <c r="D224" t="n">
        <v>4567547575</v>
      </c>
      <c r="E224" t="n">
        <v>4196316858</v>
      </c>
      <c r="F224" t="n">
        <v>12.30379751953554</v>
      </c>
      <c r="G224" t="n">
        <v>0.9187242801734802</v>
      </c>
    </row>
    <row r="225">
      <c r="A225" t="n">
        <v>18013</v>
      </c>
      <c r="B225" t="n">
        <v/>
      </c>
      <c r="C225" t="n">
        <v/>
      </c>
      <c r="D225" t="n">
        <v/>
      </c>
      <c r="E225" t="n">
        <v/>
      </c>
      <c r="F225" t="n">
        <v/>
      </c>
      <c r="G225" t="n">
        <v/>
      </c>
    </row>
    <row r="226">
      <c r="A226" t="n">
        <v/>
      </c>
      <c r="B226" t="inlineStr">
        <is>
          <t>Cetol Classic Brillante 10L (Caoba,Cedro,Cristal,Natural,Nogal,Roble)</t>
        </is>
      </c>
      <c r="C226" t="n">
        <v>96408598</v>
      </c>
      <c r="D226" t="n">
        <v>1186191869</v>
      </c>
      <c r="E226" t="n">
        <v>1089783271</v>
      </c>
      <c r="F226" t="n">
        <v>12.30379752021702</v>
      </c>
      <c r="G226" t="n">
        <v>0.9187242801779819</v>
      </c>
    </row>
    <row r="227">
      <c r="A227" t="n">
        <v>10048</v>
      </c>
      <c r="B227" t="n">
        <v/>
      </c>
      <c r="C227" t="n">
        <v/>
      </c>
      <c r="D227" t="n">
        <v/>
      </c>
      <c r="E227" t="n">
        <v/>
      </c>
      <c r="F227" t="n">
        <v/>
      </c>
      <c r="G227" t="n">
        <v/>
      </c>
    </row>
    <row r="228">
      <c r="A228" t="n">
        <v>10597</v>
      </c>
      <c r="B228" t="inlineStr">
        <is>
          <t>Cetol Classic Satinado 1L (Caoba,Cedro,Cristal,Natural,Nogal,Roble)</t>
        </is>
      </c>
      <c r="C228" t="n">
        <v>87783852</v>
      </c>
      <c r="D228" t="n">
        <v>1080074741</v>
      </c>
      <c r="E228" t="n">
        <v>992290889</v>
      </c>
      <c r="F228" t="n">
        <v>12.30379752531251</v>
      </c>
      <c r="G228" t="n">
        <v>0.9187242802116414</v>
      </c>
    </row>
    <row r="229">
      <c r="A229" t="n">
        <v>20514</v>
      </c>
      <c r="B229" t="n">
        <v/>
      </c>
      <c r="C229" t="n">
        <v/>
      </c>
      <c r="D229" t="n">
        <v/>
      </c>
      <c r="E229" t="n">
        <v/>
      </c>
      <c r="F229" t="n">
        <v/>
      </c>
      <c r="G229" t="n">
        <v/>
      </c>
    </row>
    <row r="230">
      <c r="A230" t="n">
        <v/>
      </c>
      <c r="B230" t="inlineStr">
        <is>
          <t>Cetol Classic Satinado 4L (Caoba,Cedro,Cristal,Natural,Nogal,Roble)</t>
        </is>
      </c>
      <c r="C230" t="n">
        <v>285559404</v>
      </c>
      <c r="D230" t="n">
        <v>3513465087</v>
      </c>
      <c r="E230" t="n">
        <v>3227905683</v>
      </c>
      <c r="F230" t="n">
        <v>12.30379752088291</v>
      </c>
      <c r="G230" t="n">
        <v>0.9187242801823805</v>
      </c>
    </row>
    <row r="231">
      <c r="A231" t="n">
        <v>20078</v>
      </c>
      <c r="B231" t="n">
        <v/>
      </c>
      <c r="C231" t="n">
        <v/>
      </c>
      <c r="D231" t="n">
        <v/>
      </c>
      <c r="E231" t="n">
        <v/>
      </c>
      <c r="F231" t="n">
        <v/>
      </c>
      <c r="G231" t="n">
        <v/>
      </c>
    </row>
    <row r="232">
      <c r="A232" t="n">
        <v>20079</v>
      </c>
      <c r="B232" t="inlineStr">
        <is>
          <t>Cetol Classic Satinado 10L (Caoba,Cedro,Cristal,Natural,Nogal,Roble)</t>
        </is>
      </c>
      <c r="C232" t="n">
        <v>741605943</v>
      </c>
      <c r="D232" t="n">
        <v>9124569362</v>
      </c>
      <c r="E232" t="n">
        <v>8382963419</v>
      </c>
      <c r="F232" t="n">
        <v>12.30379751959458</v>
      </c>
      <c r="G232" t="n">
        <v>0.9187242801738702</v>
      </c>
    </row>
    <row r="233">
      <c r="A233" t="n">
        <v>20080</v>
      </c>
      <c r="B233" t="n">
        <v/>
      </c>
      <c r="C233" t="n">
        <v/>
      </c>
      <c r="D233" t="n">
        <v/>
      </c>
      <c r="E233" t="n">
        <v/>
      </c>
      <c r="F233" t="n">
        <v/>
      </c>
      <c r="G233" t="n">
        <v/>
      </c>
    </row>
    <row r="234">
      <c r="A234" t="n">
        <v>20081</v>
      </c>
      <c r="B234" t="inlineStr">
        <is>
          <t>Cetol Classic Satinado 20L (Caoba,Cedro,Cristal,Natural,Nogal,Roble)</t>
        </is>
      </c>
      <c r="C234" t="n">
        <v>1365162858</v>
      </c>
      <c r="D234" t="n">
        <v>1679668738</v>
      </c>
      <c r="E234" t="n">
        <v>314505880</v>
      </c>
      <c r="F234" t="n">
        <v>1.230379751512402</v>
      </c>
      <c r="G234" t="n">
        <v>0.187242801443388</v>
      </c>
    </row>
    <row r="235">
      <c r="A235" t="n">
        <v>20090</v>
      </c>
      <c r="B235" t="n">
        <v/>
      </c>
      <c r="C235" t="n">
        <v/>
      </c>
      <c r="D235" t="n">
        <v/>
      </c>
      <c r="E235" t="n">
        <v/>
      </c>
      <c r="F235" t="n">
        <v/>
      </c>
      <c r="G235" t="n">
        <v/>
      </c>
    </row>
    <row r="236">
      <c r="A236" t="n">
        <v>20091</v>
      </c>
      <c r="B236" t="inlineStr">
        <is>
          <t>Cetol Deck 1L (Natural,Roble Claro,Teca)</t>
        </is>
      </c>
      <c r="C236" t="n">
        <v>112366124</v>
      </c>
      <c r="D236" t="n">
        <v>1382530038</v>
      </c>
      <c r="E236" t="n">
        <v>1270163914</v>
      </c>
      <c r="F236" t="n">
        <v>12.30379752175131</v>
      </c>
      <c r="G236" t="n">
        <v>0.9187242801881169</v>
      </c>
    </row>
    <row r="237">
      <c r="A237" t="n">
        <v>20092</v>
      </c>
      <c r="B237" t="inlineStr">
        <is>
          <t>Cetol Deck 4L (Natural,Roble Claro,Teca)</t>
        </is>
      </c>
      <c r="C237" t="n">
        <v>387450128</v>
      </c>
      <c r="D237" t="n">
        <v>4767107924</v>
      </c>
      <c r="E237" t="n">
        <v>4379657796</v>
      </c>
      <c r="F237" t="n">
        <v>12.30379751997398</v>
      </c>
      <c r="G237" t="n">
        <v>0.9187242801763764</v>
      </c>
    </row>
    <row r="238">
      <c r="A238" t="n">
        <v>20084</v>
      </c>
      <c r="B238" t="inlineStr">
        <is>
          <t>Cetol Tinta 60cc      (Algarrobo,Caoba,Cedro,Nogal,  R Claro,R Oscuro,Wengue)</t>
        </is>
      </c>
      <c r="C238" t="n">
        <v>173280575</v>
      </c>
      <c r="D238" t="n">
        <v>2132009109</v>
      </c>
      <c r="E238" t="n">
        <v>1958728534</v>
      </c>
      <c r="F238" t="n">
        <v>12.30379752029332</v>
      </c>
      <c r="G238" t="n">
        <v>0.9187242801784858</v>
      </c>
    </row>
    <row r="239">
      <c r="A239" t="n">
        <v>20085</v>
      </c>
      <c r="B239" t="n">
        <v/>
      </c>
      <c r="C239" t="n">
        <v/>
      </c>
      <c r="D239" t="n">
        <v/>
      </c>
      <c r="E239" t="n">
        <v/>
      </c>
      <c r="F239" t="n">
        <v/>
      </c>
      <c r="G239" t="n">
        <v/>
      </c>
    </row>
    <row r="240">
      <c r="A240" t="e">
        <v>#REF!</v>
      </c>
      <c r="B240" t="inlineStr">
        <is>
          <t>Cetol Tinta 240cc      (Algarrobo,Caoba,Cedro,Nogal,  R Claro,R Oscuro,Wengue)</t>
        </is>
      </c>
      <c r="C240" t="n">
        <v>433070495</v>
      </c>
      <c r="D240" t="n">
        <v>5328411682</v>
      </c>
      <c r="E240" t="n">
        <v>4895341187</v>
      </c>
      <c r="F240" t="n">
        <v>12.30379751915447</v>
      </c>
      <c r="G240" t="n">
        <v>0.918724280170963</v>
      </c>
    </row>
    <row r="241">
      <c r="A241" t="e">
        <v>#REF!</v>
      </c>
      <c r="B241" t="n">
        <v/>
      </c>
      <c r="C241" t="n">
        <v/>
      </c>
      <c r="D241" t="n">
        <v/>
      </c>
      <c r="E241" t="n">
        <v/>
      </c>
      <c r="F241" t="n">
        <v/>
      </c>
      <c r="G241" t="n">
        <v/>
      </c>
    </row>
    <row r="242">
      <c r="A242" t="e">
        <v>#REF!</v>
      </c>
      <c r="B242" t="inlineStr">
        <is>
          <t>Brikol Ladrillos 1L (Incoloro,Natural,Cerámico)</t>
        </is>
      </c>
      <c r="C242" t="n">
        <v>128341109</v>
      </c>
      <c r="D242" t="n">
        <v>1579083019</v>
      </c>
      <c r="E242" t="n">
        <v>1450741910</v>
      </c>
      <c r="F242" t="n">
        <v>12.30379752289658</v>
      </c>
      <c r="G242" t="n">
        <v>0.9187242801956823</v>
      </c>
    </row>
    <row r="243">
      <c r="A243" t="e">
        <v>#REF!</v>
      </c>
      <c r="B243" t="inlineStr">
        <is>
          <t>Brikol Ladrillos 4L (Incoloro,Natural,Cerámico)</t>
        </is>
      </c>
      <c r="C243" t="n">
        <v>41709551</v>
      </c>
      <c r="D243" t="n">
        <v>5131858702</v>
      </c>
      <c r="E243" t="n">
        <v>5090149151</v>
      </c>
      <c r="F243" t="n">
        <v>123.0379752110014</v>
      </c>
      <c r="G243" t="n">
        <v>0.9918724280183816</v>
      </c>
    </row>
    <row r="244">
      <c r="A244" t="e">
        <v>#REF!</v>
      </c>
      <c r="B244" t="inlineStr">
        <is>
          <t>Brikol Ladrillos 10L (Incoloro,Natural,Cerámico)</t>
        </is>
      </c>
      <c r="C244" t="n">
        <v>8983441155</v>
      </c>
      <c r="D244" t="n">
        <v>110530441</v>
      </c>
      <c r="E244" t="n">
        <v>-8872910714</v>
      </c>
      <c r="F244" t="n">
        <v>0.01230379751955975</v>
      </c>
      <c r="G244" t="n">
        <v>-80.27571982635988</v>
      </c>
    </row>
    <row r="245">
      <c r="A245" t="e">
        <v>#REF!</v>
      </c>
      <c r="B245" t="inlineStr">
        <is>
          <t>Brikol Ladrillos 20L (Incoloro,Natural,Cerámico)</t>
        </is>
      </c>
      <c r="C245" t="n">
        <v>1604185297</v>
      </c>
      <c r="D245" t="n">
        <v>1973757108</v>
      </c>
      <c r="E245" t="n">
        <v>369571811</v>
      </c>
      <c r="F245" t="n">
        <v>1.230379752071746</v>
      </c>
      <c r="G245" t="n">
        <v>0.1872428018128764</v>
      </c>
    </row>
    <row r="246">
      <c r="A246" t="n">
        <v/>
      </c>
      <c r="B246" t="inlineStr">
        <is>
          <t>PENTA</t>
        </is>
      </c>
      <c r="C246" t="n">
        <v/>
      </c>
      <c r="D246" t="n">
        <v/>
      </c>
      <c r="E246" t="n">
        <v/>
      </c>
      <c r="F246" t="n">
        <v/>
      </c>
      <c r="G246" t="n">
        <v/>
      </c>
    </row>
    <row r="247">
      <c r="A247" t="n">
        <v/>
      </c>
      <c r="B247" t="inlineStr">
        <is>
          <t>Penta Preservador Insecticida 1L</t>
        </is>
      </c>
      <c r="C247" t="n">
        <v>481781105</v>
      </c>
      <c r="D247" t="n">
        <v>6421715262</v>
      </c>
      <c r="E247" t="n">
        <v>5939934157</v>
      </c>
      <c r="F247" t="n">
        <v>13.32911398009268</v>
      </c>
      <c r="G247" t="n">
        <v>0.9249762586250277</v>
      </c>
    </row>
    <row r="248">
      <c r="A248" t="n">
        <v/>
      </c>
      <c r="B248" t="inlineStr">
        <is>
          <t>Penta Preservador Insecticida 4L</t>
        </is>
      </c>
      <c r="C248" t="n">
        <v>1735861075</v>
      </c>
      <c r="D248" t="n">
        <v>2313749012</v>
      </c>
      <c r="E248" t="n">
        <v>577887937</v>
      </c>
      <c r="F248" t="n">
        <v>1.332911397877852</v>
      </c>
      <c r="G248" t="n">
        <v>0.2497625861763091</v>
      </c>
    </row>
    <row r="249">
      <c r="A249" t="n">
        <v/>
      </c>
      <c r="B249" t="inlineStr">
        <is>
          <t>Penta Preservador Insecticida 10L</t>
        </is>
      </c>
      <c r="C249" t="n">
        <v>40225536</v>
      </c>
      <c r="D249" t="n">
        <v>5361707543</v>
      </c>
      <c r="E249" t="n">
        <v>5321482007</v>
      </c>
      <c r="F249" t="n">
        <v>133.2911398122824</v>
      </c>
      <c r="G249" t="n">
        <v>0.9924976258631419</v>
      </c>
    </row>
    <row r="250">
      <c r="A250" t="n">
        <v/>
      </c>
      <c r="B250" t="inlineStr">
        <is>
          <t>Penta Preservador Insecticida 18L</t>
        </is>
      </c>
      <c r="C250" t="n">
        <v>681232721</v>
      </c>
      <c r="D250" t="n">
        <v>8730989024</v>
      </c>
      <c r="E250" t="n">
        <v>8049756303</v>
      </c>
      <c r="F250" t="n">
        <v>12.81645574978187</v>
      </c>
      <c r="G250" t="n">
        <v>0.9219753089681584</v>
      </c>
    </row>
    <row r="251">
      <c r="A251" t="e">
        <v>#REF!</v>
      </c>
      <c r="B251" t="inlineStr">
        <is>
          <t>PILETAS</t>
        </is>
      </c>
      <c r="C251" t="n">
        <v/>
      </c>
      <c r="D251" t="n">
        <v/>
      </c>
      <c r="E251" t="n">
        <v/>
      </c>
      <c r="F251" t="n">
        <v/>
      </c>
      <c r="G251" t="n">
        <v/>
      </c>
    </row>
    <row r="252">
      <c r="A252" t="n">
        <v/>
      </c>
      <c r="B252" t="inlineStr">
        <is>
          <t>Alba Piletas Caucho Clor 4L                                     (Blanco,Celeste Profundo,Celeste)</t>
        </is>
      </c>
      <c r="C252" t="n">
        <v>4454751145</v>
      </c>
      <c r="D252" t="n">
        <v>5481035609</v>
      </c>
      <c r="E252" t="n">
        <v>1026284464</v>
      </c>
      <c r="F252" t="n">
        <v>1.23037975199847</v>
      </c>
      <c r="G252" t="n">
        <v>0.1872428017644722</v>
      </c>
    </row>
    <row r="253">
      <c r="A253" t="n">
        <v/>
      </c>
      <c r="B253" t="n">
        <v/>
      </c>
      <c r="C253" t="n">
        <v/>
      </c>
      <c r="D253" t="n">
        <v/>
      </c>
      <c r="E253" t="n">
        <v/>
      </c>
      <c r="F253" t="n">
        <v/>
      </c>
      <c r="G253" t="n">
        <v/>
      </c>
    </row>
    <row r="254">
      <c r="A254" t="n">
        <v/>
      </c>
      <c r="B254" t="inlineStr">
        <is>
          <t>Duralba Piscinas Acrilico 4L                              (Blanco,Celeste Profundo,Celeste)</t>
        </is>
      </c>
      <c r="C254" t="n">
        <v>3426765225</v>
      </c>
      <c r="D254" t="n">
        <v>4216222548</v>
      </c>
      <c r="E254" t="n">
        <v>789457323</v>
      </c>
      <c r="F254" t="n">
        <v>1.23037975208821</v>
      </c>
      <c r="G254" t="n">
        <v>0.1872428018237523</v>
      </c>
    </row>
    <row r="255">
      <c r="A255" t="n">
        <v/>
      </c>
      <c r="B255" t="n">
        <v/>
      </c>
      <c r="C255" t="n">
        <v/>
      </c>
      <c r="D255" t="n">
        <v/>
      </c>
      <c r="E255" t="n">
        <v/>
      </c>
      <c r="F255" t="n">
        <v/>
      </c>
      <c r="G255" t="n">
        <v/>
      </c>
    </row>
    <row r="256">
      <c r="A256" t="n">
        <v/>
      </c>
      <c r="B256" t="inlineStr">
        <is>
          <t>Tersuave Piscinas Base Acuosa 4L (Blanco, Azul)</t>
        </is>
      </c>
      <c r="C256" t="n">
        <v>2284772035</v>
      </c>
      <c r="D256" t="n">
        <v>3045398687</v>
      </c>
      <c r="E256" t="n">
        <v>760626652</v>
      </c>
      <c r="F256" t="n">
        <v>1.332911397876069</v>
      </c>
      <c r="G256" t="n">
        <v>0.2497625861753056</v>
      </c>
    </row>
    <row r="257">
      <c r="A257" t="n">
        <v/>
      </c>
      <c r="B257" t="n">
        <v/>
      </c>
      <c r="C257" t="n">
        <v/>
      </c>
      <c r="D257" t="n">
        <v/>
      </c>
      <c r="E257" t="n">
        <v/>
      </c>
      <c r="F257" t="n">
        <v/>
      </c>
      <c r="G257" t="n">
        <v/>
      </c>
    </row>
    <row r="258">
      <c r="A258" t="n">
        <v/>
      </c>
      <c r="B258" t="n">
        <v/>
      </c>
      <c r="C258" t="n">
        <v/>
      </c>
      <c r="D258" t="n">
        <v/>
      </c>
      <c r="E258" t="n">
        <v/>
      </c>
      <c r="F258" t="n">
        <v/>
      </c>
      <c r="G258" t="n">
        <v/>
      </c>
    </row>
    <row r="259">
      <c r="A259" t="n">
        <v/>
      </c>
      <c r="B259" t="n">
        <v/>
      </c>
      <c r="C259" t="n">
        <v/>
      </c>
      <c r="D259" t="n">
        <v/>
      </c>
      <c r="E259" t="n">
        <v/>
      </c>
      <c r="F259" t="n">
        <v/>
      </c>
      <c r="G259" t="n">
        <v/>
      </c>
    </row>
    <row r="260">
      <c r="A260" t="n">
        <v/>
      </c>
      <c r="B260" t="n">
        <v/>
      </c>
      <c r="C260" t="n">
        <v/>
      </c>
      <c r="D260" t="n">
        <v/>
      </c>
      <c r="E260" t="n">
        <v/>
      </c>
      <c r="F260" t="n">
        <v/>
      </c>
      <c r="G260" t="n">
        <v/>
      </c>
    </row>
    <row r="261">
      <c r="A261" t="n">
        <v/>
      </c>
      <c r="B261" t="n">
        <v/>
      </c>
      <c r="C261" t="n">
        <v/>
      </c>
      <c r="D261" t="n">
        <v/>
      </c>
      <c r="E261" t="n">
        <v/>
      </c>
      <c r="F261" t="n">
        <v/>
      </c>
      <c r="G261" t="n">
        <v/>
      </c>
    </row>
    <row r="262">
      <c r="A262" t="n">
        <v/>
      </c>
      <c r="B262" t="inlineStr">
        <is>
          <t>BARNIZ</t>
        </is>
      </c>
      <c r="C262" t="n">
        <v/>
      </c>
      <c r="D262" t="n">
        <v/>
      </c>
      <c r="E262" t="n">
        <v/>
      </c>
      <c r="F262" t="n">
        <v/>
      </c>
      <c r="G262" t="n">
        <v/>
      </c>
    </row>
    <row r="263">
      <c r="A263" t="n">
        <v/>
      </c>
      <c r="B263" t="inlineStr">
        <is>
          <t>Tersuave Barniz Marino 250</t>
        </is>
      </c>
      <c r="C263" t="n">
        <v>25193337</v>
      </c>
      <c r="D263" t="n">
        <v>3358048604</v>
      </c>
      <c r="E263" t="n">
        <v>3332855267</v>
      </c>
      <c r="F263" t="n">
        <v>133.2911397962088</v>
      </c>
      <c r="G263" t="n">
        <v>0.9924976258622372</v>
      </c>
    </row>
    <row r="264">
      <c r="A264" t="n">
        <v/>
      </c>
      <c r="B264" t="inlineStr">
        <is>
          <t>Tersuave Barniz Marino 500</t>
        </is>
      </c>
      <c r="C264" t="n">
        <v>367424655</v>
      </c>
      <c r="D264" t="n">
        <v>4897445106</v>
      </c>
      <c r="E264" t="n">
        <v>4530020451</v>
      </c>
      <c r="F264" t="n">
        <v>13.32911398120521</v>
      </c>
      <c r="G264" t="n">
        <v>0.9249762586312897</v>
      </c>
    </row>
    <row r="265">
      <c r="A265" t="n">
        <v/>
      </c>
      <c r="B265" t="inlineStr">
        <is>
          <t>Tersuave Barniz Marino 1L</t>
        </is>
      </c>
      <c r="C265" t="n">
        <v>563838405</v>
      </c>
      <c r="D265" t="n">
        <v>7515466367</v>
      </c>
      <c r="E265" t="n">
        <v>6951627962</v>
      </c>
      <c r="F265" t="n">
        <v>13.32911398080448</v>
      </c>
      <c r="G265" t="n">
        <v>0.9249762586290342</v>
      </c>
    </row>
    <row r="266">
      <c r="A266" t="n">
        <v/>
      </c>
      <c r="B266" t="inlineStr">
        <is>
          <t>Tersuave Barniz Marino 4L</t>
        </is>
      </c>
      <c r="C266" t="n">
        <v>1979414125</v>
      </c>
      <c r="D266" t="n">
        <v>2638383649</v>
      </c>
      <c r="E266" t="n">
        <v>658969524</v>
      </c>
      <c r="F266" t="n">
        <v>1.332911398214863</v>
      </c>
      <c r="G266" t="n">
        <v>0.2497625863659982</v>
      </c>
    </row>
    <row r="267">
      <c r="A267" t="n">
        <v/>
      </c>
      <c r="B267" t="inlineStr">
        <is>
          <t>Tersuave Barniz Satinado 0,5L</t>
        </is>
      </c>
      <c r="C267" t="n">
        <v>41238158</v>
      </c>
      <c r="D267" t="n">
        <v>5496681083</v>
      </c>
      <c r="E267" t="n">
        <v>5455442925</v>
      </c>
      <c r="F267" t="n">
        <v>133.2911397982422</v>
      </c>
      <c r="G267" t="n">
        <v>0.9924976258623517</v>
      </c>
    </row>
    <row r="268">
      <c r="A268" t="n">
        <v/>
      </c>
      <c r="B268" t="inlineStr">
        <is>
          <t>Tersuave Barniz Satinado 1L</t>
        </is>
      </c>
      <c r="C268" t="n">
        <v>669639945</v>
      </c>
      <c r="D268" t="n">
        <v>8925707152</v>
      </c>
      <c r="E268" t="n">
        <v>8256067207</v>
      </c>
      <c r="F268" t="n">
        <v>13.32911397930421</v>
      </c>
      <c r="G268" t="n">
        <v>0.9249762586205897</v>
      </c>
    </row>
    <row r="269">
      <c r="A269" t="n">
        <v/>
      </c>
      <c r="B269" t="inlineStr">
        <is>
          <t>Tersuave Barniz Satinado 4L</t>
        </is>
      </c>
      <c r="C269" t="n">
        <v>230790521</v>
      </c>
      <c r="D269" t="n">
        <v>307623316</v>
      </c>
      <c r="E269" t="n">
        <v>76832795</v>
      </c>
      <c r="F269" t="n">
        <v>1.332911398037877</v>
      </c>
      <c r="G269" t="n">
        <v>0.2497625862663804</v>
      </c>
    </row>
    <row r="270">
      <c r="A270" t="n">
        <v/>
      </c>
      <c r="B270" t="inlineStr">
        <is>
          <t>Tersuave Barniz Mate 0,5L</t>
        </is>
      </c>
      <c r="C270" t="n">
        <v>436387705</v>
      </c>
      <c r="D270" t="n">
        <v>5816661459</v>
      </c>
      <c r="E270" t="n">
        <v>5380273754</v>
      </c>
      <c r="F270" t="n">
        <v>13.3291139790476</v>
      </c>
      <c r="G270" t="n">
        <v>0.9249762586191455</v>
      </c>
    </row>
    <row r="271">
      <c r="A271" t="n">
        <v/>
      </c>
      <c r="B271" t="inlineStr">
        <is>
          <t>Tersuave Barniz Mate 1L</t>
        </is>
      </c>
      <c r="C271" t="n">
        <v>699669425</v>
      </c>
      <c r="D271" t="n">
        <v>9325973514</v>
      </c>
      <c r="E271" t="n">
        <v>8626304089</v>
      </c>
      <c r="F271" t="n">
        <v>13.32911397979124</v>
      </c>
      <c r="G271" t="n">
        <v>0.9249762586233311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2025-08-14T23:37:27Z</dcterms:created>
  <dcterms:modified xmlns:dcterms="http://purl.org/dc/terms/" xmlns:xsi="http://www.w3.org/2001/XMLSchema-instance" xsi:type="dcterms:W3CDTF">2025-08-14T23:37:27Z</dcterms:modified>
</cp:coreProperties>
</file>